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게임기록" state="visible" r:id="rId4"/>
    <sheet sheetId="2" name="기록" state="visible" r:id="rId5"/>
    <sheet sheetId="3" name="승점순위" state="visible" r:id="rId6"/>
    <sheet sheetId="4" name="출석" state="visible" r:id="rId7"/>
    <sheet sheetId="5" name="사용법" state="visible" r:id="rId8"/>
  </sheets>
  <calcPr calcId="171027"/>
</workbook>
</file>

<file path=xl/sharedStrings.xml><?xml version="1.0" encoding="utf-8"?>
<sst xmlns="http://schemas.openxmlformats.org/spreadsheetml/2006/main" count="85" uniqueCount="34">
  <si>
    <t>날짜</t>
  </si>
  <si>
    <t>닉네임+점수 입력 → 기록 자동 반영 → 승점순위·출석 확인 (Excel 365)</t>
  </si>
  <si>
    <t>1게임</t>
  </si>
  <si>
    <t>2게임</t>
  </si>
  <si>
    <t>3게임</t>
  </si>
  <si>
    <t>#</t>
  </si>
  <si>
    <t>닉네임</t>
  </si>
  <si>
    <t>바이인</t>
  </si>
  <si>
    <t>리바인</t>
  </si>
  <si>
    <t>머니인</t>
  </si>
  <si>
    <t>4게임</t>
  </si>
  <si>
    <t>5게임</t>
  </si>
  <si>
    <t>6게임</t>
  </si>
  <si>
    <t>7게임</t>
  </si>
  <si>
    <t>8게임</t>
  </si>
  <si>
    <t>9게임</t>
  </si>
  <si>
    <t>게임</t>
  </si>
  <si>
    <t>합계</t>
  </si>
  <si>
    <t>기간 시작</t>
  </si>
  <si>
    <t>기간 종료</t>
  </si>
  <si>
    <t>총점 내림차순 · 출석일=서로 다른 날짜 수</t>
  </si>
  <si>
    <t>순위</t>
  </si>
  <si>
    <t>총점</t>
  </si>
  <si>
    <t>출석일</t>
  </si>
  <si>
    <t>방문=날짜 수 · 게임=기록 행 수 · 방문 많은 순</t>
  </si>
  <si>
    <t>방문</t>
  </si>
  <si>
    <t>방문 날짜</t>
  </si>
  <si>
    <t>MNF 승점·출석 엑셀 템플릿</t>
  </si>
  <si>
    <t/>
  </si>
  <si>
    <t>■ Microsoft Excel 365 필요 (UNIQUE, FILTER, SORTBY)</t>
  </si>
  <si>
    <t>■ 게임기록 — B1 날짜, 9게임×20행 입력</t>
  </si>
  <si>
    <t>■ 기록 — 자동 집계 (180행, 수정하지 마세요)</t>
  </si>
  <si>
    <t>■ 승점순위 — B1~B2 기간, 총점 순 정렬</t>
  </si>
  <si>
    <t>■ 출석 — 방문·게임·날짜 목록, 방문 순 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</si>
</sst>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</font>
    <font>
      <color rgb="FFAAAAAA"/>
      <sz val="9"/>
    </font>
    <font>
      <b/>
      <color rgb="FFF5C4D8"/>
      <sz val="11"/>
    </font>
    <font>
      <b/>
      <color rgb="FFF5C4D8"/>
      <sz val="10"/>
    </font>
    <font>
      <color rgb="FF999999"/>
      <sz val="9"/>
    </font>
    <font>
      <b/>
      <sz val="14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3D2F3A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1" customWidth="1"/>
    <col min="3" max="5" width="7" customWidth="1"/>
    <col min="6" max="6" width="2" customWidth="1"/>
    <col min="7" max="7" width="3" customWidth="1"/>
    <col min="8" max="8" width="11" customWidth="1"/>
    <col min="9" max="11" width="7" customWidth="1"/>
    <col min="12" max="12" width="2" customWidth="1"/>
    <col min="13" max="13" width="3" customWidth="1"/>
    <col min="14" max="14" width="11" customWidth="1"/>
    <col min="15" max="17" width="7" customWidth="1"/>
  </cols>
  <sheetData>
    <row r="1" spans="1:2" x14ac:dyDescent="0.25">
      <c r="A1" s="1" t="s">
        <v>0</v>
      </c>
      <c r="B1" s="2">
        <f>TODAY()</f>
      </c>
    </row>
    <row r="2" spans="1:17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3" x14ac:dyDescent="0.25">
      <c r="A3" s="4" t="s">
        <v>2</v>
      </c>
      <c r="G3" s="4" t="s">
        <v>3</v>
      </c>
      <c r="M3" s="4" t="s">
        <v>4</v>
      </c>
    </row>
    <row r="4" spans="1:17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M4" s="5" t="s">
        <v>5</v>
      </c>
      <c r="N4" s="5" t="s">
        <v>6</v>
      </c>
      <c r="O4" s="5" t="s">
        <v>7</v>
      </c>
      <c r="P4" s="5" t="s">
        <v>8</v>
      </c>
      <c r="Q4" s="5" t="s">
        <v>9</v>
      </c>
    </row>
    <row r="5" spans="1:13" x14ac:dyDescent="0.25">
      <c r="A5" s="6">
        <v>1</v>
      </c>
      <c r="G5" s="6">
        <v>1</v>
      </c>
      <c r="M5" s="6">
        <v>1</v>
      </c>
    </row>
    <row r="6" spans="1:13" x14ac:dyDescent="0.25">
      <c r="A6" s="6">
        <v>2</v>
      </c>
      <c r="G6" s="6">
        <v>2</v>
      </c>
      <c r="M6" s="6">
        <v>2</v>
      </c>
    </row>
    <row r="7" spans="1:13" x14ac:dyDescent="0.25">
      <c r="A7" s="6">
        <v>3</v>
      </c>
      <c r="G7" s="6">
        <v>3</v>
      </c>
      <c r="M7" s="6">
        <v>3</v>
      </c>
    </row>
    <row r="8" spans="1:13" x14ac:dyDescent="0.25">
      <c r="A8" s="6">
        <v>4</v>
      </c>
      <c r="G8" s="6">
        <v>4</v>
      </c>
      <c r="M8" s="6">
        <v>4</v>
      </c>
    </row>
    <row r="9" spans="1:13" x14ac:dyDescent="0.25">
      <c r="A9" s="6">
        <v>5</v>
      </c>
      <c r="G9" s="6">
        <v>5</v>
      </c>
      <c r="M9" s="6">
        <v>5</v>
      </c>
    </row>
    <row r="10" spans="1:13" x14ac:dyDescent="0.25">
      <c r="A10" s="6">
        <v>6</v>
      </c>
      <c r="G10" s="6">
        <v>6</v>
      </c>
      <c r="M10" s="6">
        <v>6</v>
      </c>
    </row>
    <row r="11" spans="1:13" x14ac:dyDescent="0.25">
      <c r="A11" s="6">
        <v>7</v>
      </c>
      <c r="G11" s="6">
        <v>7</v>
      </c>
      <c r="M11" s="6">
        <v>7</v>
      </c>
    </row>
    <row r="12" spans="1:13" x14ac:dyDescent="0.25">
      <c r="A12" s="6">
        <v>8</v>
      </c>
      <c r="G12" s="6">
        <v>8</v>
      </c>
      <c r="M12" s="6">
        <v>8</v>
      </c>
    </row>
    <row r="13" spans="1:13" x14ac:dyDescent="0.25">
      <c r="A13" s="6">
        <v>9</v>
      </c>
      <c r="G13" s="6">
        <v>9</v>
      </c>
      <c r="M13" s="6">
        <v>9</v>
      </c>
    </row>
    <row r="14" spans="1:13" x14ac:dyDescent="0.25">
      <c r="A14" s="6">
        <v>10</v>
      </c>
      <c r="G14" s="6">
        <v>10</v>
      </c>
      <c r="M14" s="6">
        <v>10</v>
      </c>
    </row>
    <row r="15" spans="1:13" x14ac:dyDescent="0.25">
      <c r="A15" s="6">
        <v>11</v>
      </c>
      <c r="G15" s="6">
        <v>11</v>
      </c>
      <c r="M15" s="6">
        <v>11</v>
      </c>
    </row>
    <row r="16" spans="1:13" x14ac:dyDescent="0.25">
      <c r="A16" s="6">
        <v>12</v>
      </c>
      <c r="G16" s="6">
        <v>12</v>
      </c>
      <c r="M16" s="6">
        <v>12</v>
      </c>
    </row>
    <row r="17" spans="1:13" x14ac:dyDescent="0.25">
      <c r="A17" s="6">
        <v>13</v>
      </c>
      <c r="G17" s="6">
        <v>13</v>
      </c>
      <c r="M17" s="6">
        <v>13</v>
      </c>
    </row>
    <row r="18" spans="1:13" x14ac:dyDescent="0.25">
      <c r="A18" s="6">
        <v>14</v>
      </c>
      <c r="G18" s="6">
        <v>14</v>
      </c>
      <c r="M18" s="6">
        <v>14</v>
      </c>
    </row>
    <row r="19" spans="1:13" x14ac:dyDescent="0.25">
      <c r="A19" s="6">
        <v>15</v>
      </c>
      <c r="G19" s="6">
        <v>15</v>
      </c>
      <c r="M19" s="6">
        <v>15</v>
      </c>
    </row>
    <row r="20" spans="1:13" x14ac:dyDescent="0.25">
      <c r="A20" s="6">
        <v>16</v>
      </c>
      <c r="G20" s="6">
        <v>16</v>
      </c>
      <c r="M20" s="6">
        <v>16</v>
      </c>
    </row>
    <row r="21" spans="1:13" x14ac:dyDescent="0.25">
      <c r="A21" s="6">
        <v>17</v>
      </c>
      <c r="G21" s="6">
        <v>17</v>
      </c>
      <c r="M21" s="6">
        <v>17</v>
      </c>
    </row>
    <row r="22" spans="1:13" x14ac:dyDescent="0.25">
      <c r="A22" s="6">
        <v>18</v>
      </c>
      <c r="G22" s="6">
        <v>18</v>
      </c>
      <c r="M22" s="6">
        <v>18</v>
      </c>
    </row>
    <row r="23" spans="1:13" x14ac:dyDescent="0.25">
      <c r="A23" s="6">
        <v>19</v>
      </c>
      <c r="G23" s="6">
        <v>19</v>
      </c>
      <c r="M23" s="6">
        <v>19</v>
      </c>
    </row>
    <row r="24" spans="1:13" x14ac:dyDescent="0.25">
      <c r="A24" s="6">
        <v>20</v>
      </c>
      <c r="G24" s="6">
        <v>20</v>
      </c>
      <c r="M24" s="6">
        <v>20</v>
      </c>
    </row>
    <row r="26" spans="1:13" x14ac:dyDescent="0.25">
      <c r="A26" s="4" t="s">
        <v>10</v>
      </c>
      <c r="G26" s="4" t="s">
        <v>11</v>
      </c>
      <c r="M26" s="4" t="s">
        <v>12</v>
      </c>
    </row>
    <row r="27" spans="1:17" x14ac:dyDescent="0.25">
      <c r="A27" s="5" t="s">
        <v>5</v>
      </c>
      <c r="B27" s="5" t="s">
        <v>6</v>
      </c>
      <c r="C27" s="5" t="s">
        <v>7</v>
      </c>
      <c r="D27" s="5" t="s">
        <v>8</v>
      </c>
      <c r="E27" s="5" t="s">
        <v>9</v>
      </c>
      <c r="G27" s="5" t="s">
        <v>5</v>
      </c>
      <c r="H27" s="5" t="s">
        <v>6</v>
      </c>
      <c r="I27" s="5" t="s">
        <v>7</v>
      </c>
      <c r="J27" s="5" t="s">
        <v>8</v>
      </c>
      <c r="K27" s="5" t="s">
        <v>9</v>
      </c>
      <c r="M27" s="5" t="s">
        <v>5</v>
      </c>
      <c r="N27" s="5" t="s">
        <v>6</v>
      </c>
      <c r="O27" s="5" t="s">
        <v>7</v>
      </c>
      <c r="P27" s="5" t="s">
        <v>8</v>
      </c>
      <c r="Q27" s="5" t="s">
        <v>9</v>
      </c>
    </row>
    <row r="28" spans="1:13" x14ac:dyDescent="0.25">
      <c r="A28" s="6">
        <v>1</v>
      </c>
      <c r="G28" s="6">
        <v>1</v>
      </c>
      <c r="M28" s="6">
        <v>1</v>
      </c>
    </row>
    <row r="29" spans="1:13" x14ac:dyDescent="0.25">
      <c r="A29" s="6">
        <v>2</v>
      </c>
      <c r="G29" s="6">
        <v>2</v>
      </c>
      <c r="M29" s="6">
        <v>2</v>
      </c>
    </row>
    <row r="30" spans="1:13" x14ac:dyDescent="0.25">
      <c r="A30" s="6">
        <v>3</v>
      </c>
      <c r="G30" s="6">
        <v>3</v>
      </c>
      <c r="M30" s="6">
        <v>3</v>
      </c>
    </row>
    <row r="31" spans="1:13" x14ac:dyDescent="0.25">
      <c r="A31" s="6">
        <v>4</v>
      </c>
      <c r="G31" s="6">
        <v>4</v>
      </c>
      <c r="M31" s="6">
        <v>4</v>
      </c>
    </row>
    <row r="32" spans="1:13" x14ac:dyDescent="0.25">
      <c r="A32" s="6">
        <v>5</v>
      </c>
      <c r="G32" s="6">
        <v>5</v>
      </c>
      <c r="M32" s="6">
        <v>5</v>
      </c>
    </row>
    <row r="33" spans="1:13" x14ac:dyDescent="0.25">
      <c r="A33" s="6">
        <v>6</v>
      </c>
      <c r="G33" s="6">
        <v>6</v>
      </c>
      <c r="M33" s="6">
        <v>6</v>
      </c>
    </row>
    <row r="34" spans="1:13" x14ac:dyDescent="0.25">
      <c r="A34" s="6">
        <v>7</v>
      </c>
      <c r="G34" s="6">
        <v>7</v>
      </c>
      <c r="M34" s="6">
        <v>7</v>
      </c>
    </row>
    <row r="35" spans="1:13" x14ac:dyDescent="0.25">
      <c r="A35" s="6">
        <v>8</v>
      </c>
      <c r="G35" s="6">
        <v>8</v>
      </c>
      <c r="M35" s="6">
        <v>8</v>
      </c>
    </row>
    <row r="36" spans="1:13" x14ac:dyDescent="0.25">
      <c r="A36" s="6">
        <v>9</v>
      </c>
      <c r="G36" s="6">
        <v>9</v>
      </c>
      <c r="M36" s="6">
        <v>9</v>
      </c>
    </row>
    <row r="37" spans="1:13" x14ac:dyDescent="0.25">
      <c r="A37" s="6">
        <v>10</v>
      </c>
      <c r="G37" s="6">
        <v>10</v>
      </c>
      <c r="M37" s="6">
        <v>10</v>
      </c>
    </row>
    <row r="38" spans="1:13" x14ac:dyDescent="0.25">
      <c r="A38" s="6">
        <v>11</v>
      </c>
      <c r="G38" s="6">
        <v>11</v>
      </c>
      <c r="M38" s="6">
        <v>11</v>
      </c>
    </row>
    <row r="39" spans="1:13" x14ac:dyDescent="0.25">
      <c r="A39" s="6">
        <v>12</v>
      </c>
      <c r="G39" s="6">
        <v>12</v>
      </c>
      <c r="M39" s="6">
        <v>12</v>
      </c>
    </row>
    <row r="40" spans="1:13" x14ac:dyDescent="0.25">
      <c r="A40" s="6">
        <v>13</v>
      </c>
      <c r="G40" s="6">
        <v>13</v>
      </c>
      <c r="M40" s="6">
        <v>13</v>
      </c>
    </row>
    <row r="41" spans="1:13" x14ac:dyDescent="0.25">
      <c r="A41" s="6">
        <v>14</v>
      </c>
      <c r="G41" s="6">
        <v>14</v>
      </c>
      <c r="M41" s="6">
        <v>14</v>
      </c>
    </row>
    <row r="42" spans="1:13" x14ac:dyDescent="0.25">
      <c r="A42" s="6">
        <v>15</v>
      </c>
      <c r="G42" s="6">
        <v>15</v>
      </c>
      <c r="M42" s="6">
        <v>15</v>
      </c>
    </row>
    <row r="43" spans="1:13" x14ac:dyDescent="0.25">
      <c r="A43" s="6">
        <v>16</v>
      </c>
      <c r="G43" s="6">
        <v>16</v>
      </c>
      <c r="M43" s="6">
        <v>16</v>
      </c>
    </row>
    <row r="44" spans="1:13" x14ac:dyDescent="0.25">
      <c r="A44" s="6">
        <v>17</v>
      </c>
      <c r="G44" s="6">
        <v>17</v>
      </c>
      <c r="M44" s="6">
        <v>17</v>
      </c>
    </row>
    <row r="45" spans="1:13" x14ac:dyDescent="0.25">
      <c r="A45" s="6">
        <v>18</v>
      </c>
      <c r="G45" s="6">
        <v>18</v>
      </c>
      <c r="M45" s="6">
        <v>18</v>
      </c>
    </row>
    <row r="46" spans="1:13" x14ac:dyDescent="0.25">
      <c r="A46" s="6">
        <v>19</v>
      </c>
      <c r="G46" s="6">
        <v>19</v>
      </c>
      <c r="M46" s="6">
        <v>19</v>
      </c>
    </row>
    <row r="47" spans="1:13" x14ac:dyDescent="0.25">
      <c r="A47" s="6">
        <v>20</v>
      </c>
      <c r="G47" s="6">
        <v>20</v>
      </c>
      <c r="M47" s="6">
        <v>20</v>
      </c>
    </row>
    <row r="49" spans="1:13" x14ac:dyDescent="0.25">
      <c r="A49" s="4" t="s">
        <v>13</v>
      </c>
      <c r="G49" s="4" t="s">
        <v>14</v>
      </c>
      <c r="M49" s="4" t="s">
        <v>15</v>
      </c>
    </row>
    <row r="50" spans="1:17" x14ac:dyDescent="0.25">
      <c r="A50" s="5" t="s">
        <v>5</v>
      </c>
      <c r="B50" s="5" t="s">
        <v>6</v>
      </c>
      <c r="C50" s="5" t="s">
        <v>7</v>
      </c>
      <c r="D50" s="5" t="s">
        <v>8</v>
      </c>
      <c r="E50" s="5" t="s">
        <v>9</v>
      </c>
      <c r="G50" s="5" t="s">
        <v>5</v>
      </c>
      <c r="H50" s="5" t="s">
        <v>6</v>
      </c>
      <c r="I50" s="5" t="s">
        <v>7</v>
      </c>
      <c r="J50" s="5" t="s">
        <v>8</v>
      </c>
      <c r="K50" s="5" t="s">
        <v>9</v>
      </c>
      <c r="M50" s="5" t="s">
        <v>5</v>
      </c>
      <c r="N50" s="5" t="s">
        <v>6</v>
      </c>
      <c r="O50" s="5" t="s">
        <v>7</v>
      </c>
      <c r="P50" s="5" t="s">
        <v>8</v>
      </c>
      <c r="Q50" s="5" t="s">
        <v>9</v>
      </c>
    </row>
    <row r="51" spans="1:13" x14ac:dyDescent="0.25">
      <c r="A51" s="6">
        <v>1</v>
      </c>
      <c r="G51" s="6">
        <v>1</v>
      </c>
      <c r="M51" s="6">
        <v>1</v>
      </c>
    </row>
    <row r="52" spans="1:13" x14ac:dyDescent="0.25">
      <c r="A52" s="6">
        <v>2</v>
      </c>
      <c r="G52" s="6">
        <v>2</v>
      </c>
      <c r="M52" s="6">
        <v>2</v>
      </c>
    </row>
    <row r="53" spans="1:13" x14ac:dyDescent="0.25">
      <c r="A53" s="6">
        <v>3</v>
      </c>
      <c r="G53" s="6">
        <v>3</v>
      </c>
      <c r="M53" s="6">
        <v>3</v>
      </c>
    </row>
    <row r="54" spans="1:13" x14ac:dyDescent="0.25">
      <c r="A54" s="6">
        <v>4</v>
      </c>
      <c r="G54" s="6">
        <v>4</v>
      </c>
      <c r="M54" s="6">
        <v>4</v>
      </c>
    </row>
    <row r="55" spans="1:13" x14ac:dyDescent="0.25">
      <c r="A55" s="6">
        <v>5</v>
      </c>
      <c r="G55" s="6">
        <v>5</v>
      </c>
      <c r="M55" s="6">
        <v>5</v>
      </c>
    </row>
    <row r="56" spans="1:13" x14ac:dyDescent="0.25">
      <c r="A56" s="6">
        <v>6</v>
      </c>
      <c r="G56" s="6">
        <v>6</v>
      </c>
      <c r="M56" s="6">
        <v>6</v>
      </c>
    </row>
    <row r="57" spans="1:13" x14ac:dyDescent="0.25">
      <c r="A57" s="6">
        <v>7</v>
      </c>
      <c r="G57" s="6">
        <v>7</v>
      </c>
      <c r="M57" s="6">
        <v>7</v>
      </c>
    </row>
    <row r="58" spans="1:13" x14ac:dyDescent="0.25">
      <c r="A58" s="6">
        <v>8</v>
      </c>
      <c r="G58" s="6">
        <v>8</v>
      </c>
      <c r="M58" s="6">
        <v>8</v>
      </c>
    </row>
    <row r="59" spans="1:13" x14ac:dyDescent="0.25">
      <c r="A59" s="6">
        <v>9</v>
      </c>
      <c r="G59" s="6">
        <v>9</v>
      </c>
      <c r="M59" s="6">
        <v>9</v>
      </c>
    </row>
    <row r="60" spans="1:13" x14ac:dyDescent="0.25">
      <c r="A60" s="6">
        <v>10</v>
      </c>
      <c r="G60" s="6">
        <v>10</v>
      </c>
      <c r="M60" s="6">
        <v>10</v>
      </c>
    </row>
    <row r="61" spans="1:13" x14ac:dyDescent="0.25">
      <c r="A61" s="6">
        <v>11</v>
      </c>
      <c r="G61" s="6">
        <v>11</v>
      </c>
      <c r="M61" s="6">
        <v>11</v>
      </c>
    </row>
    <row r="62" spans="1:13" x14ac:dyDescent="0.25">
      <c r="A62" s="6">
        <v>12</v>
      </c>
      <c r="G62" s="6">
        <v>12</v>
      </c>
      <c r="M62" s="6">
        <v>12</v>
      </c>
    </row>
    <row r="63" spans="1:13" x14ac:dyDescent="0.25">
      <c r="A63" s="6">
        <v>13</v>
      </c>
      <c r="G63" s="6">
        <v>13</v>
      </c>
      <c r="M63" s="6">
        <v>13</v>
      </c>
    </row>
    <row r="64" spans="1:13" x14ac:dyDescent="0.25">
      <c r="A64" s="6">
        <v>14</v>
      </c>
      <c r="G64" s="6">
        <v>14</v>
      </c>
      <c r="M64" s="6">
        <v>14</v>
      </c>
    </row>
    <row r="65" spans="1:13" x14ac:dyDescent="0.25">
      <c r="A65" s="6">
        <v>15</v>
      </c>
      <c r="G65" s="6">
        <v>15</v>
      </c>
      <c r="M65" s="6">
        <v>15</v>
      </c>
    </row>
    <row r="66" spans="1:13" x14ac:dyDescent="0.25">
      <c r="A66" s="6">
        <v>16</v>
      </c>
      <c r="G66" s="6">
        <v>16</v>
      </c>
      <c r="M66" s="6">
        <v>16</v>
      </c>
    </row>
    <row r="67" spans="1:13" x14ac:dyDescent="0.25">
      <c r="A67" s="6">
        <v>17</v>
      </c>
      <c r="G67" s="6">
        <v>17</v>
      </c>
      <c r="M67" s="6">
        <v>17</v>
      </c>
    </row>
    <row r="68" spans="1:13" x14ac:dyDescent="0.25">
      <c r="A68" s="6">
        <v>18</v>
      </c>
      <c r="G68" s="6">
        <v>18</v>
      </c>
      <c r="M68" s="6">
        <v>18</v>
      </c>
    </row>
    <row r="69" spans="1:13" x14ac:dyDescent="0.25">
      <c r="A69" s="6">
        <v>19</v>
      </c>
      <c r="G69" s="6">
        <v>19</v>
      </c>
      <c r="M69" s="6">
        <v>19</v>
      </c>
    </row>
    <row r="70" spans="1:13" x14ac:dyDescent="0.25">
      <c r="A70" s="6">
        <v>20</v>
      </c>
      <c r="G70" s="6">
        <v>20</v>
      </c>
      <c r="M70" s="6">
        <v>20</v>
      </c>
    </row>
  </sheetData>
  <mergeCells count="1"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4" customWidth="1"/>
    <col min="4" max="7" width="8" customWidth="1"/>
  </cols>
  <sheetData>
    <row r="1" spans="1:7" x14ac:dyDescent="0.25">
      <c r="A1" s="7" t="s">
        <v>0</v>
      </c>
      <c r="B1" s="7" t="s">
        <v>16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17</v>
      </c>
    </row>
    <row r="2" spans="1:7" x14ac:dyDescent="0.25">
      <c r="A2">
        <f>IF(AND('게임기록'!$B$5&lt;&gt;"",'게임기록'!$C$5+'게임기록'!$D$5+'게임기록'!$E$5&gt;0),'게임기록'!$B$1,"")</f>
      </c>
      <c r="B2">
        <f>IF($A2="","",1)</f>
      </c>
      <c r="C2">
        <f>IF($A2="","",'게임기록'!$B$5)</f>
      </c>
      <c r="D2">
        <f>IF($A2="","",'게임기록'!$C$5)</f>
      </c>
      <c r="E2">
        <f>IF($A2="","",'게임기록'!$D$5)</f>
      </c>
      <c r="F2">
        <f>IF($A2="","",'게임기록'!$E$5)</f>
      </c>
      <c r="G2">
        <f>IF($A2="","",'게임기록'!$C$5+'게임기록'!$D$5+'게임기록'!$E$5)</f>
      </c>
    </row>
    <row r="3" spans="1:7" x14ac:dyDescent="0.25">
      <c r="A3">
        <f>IF(AND('게임기록'!$B$6&lt;&gt;"",'게임기록'!$C$6+'게임기록'!$D$6+'게임기록'!$E$6&gt;0),'게임기록'!$B$1,"")</f>
      </c>
      <c r="B3">
        <f>IF($A3="","",1)</f>
      </c>
      <c r="C3">
        <f>IF($A3="","",'게임기록'!$B$6)</f>
      </c>
      <c r="D3">
        <f>IF($A3="","",'게임기록'!$C$6)</f>
      </c>
      <c r="E3">
        <f>IF($A3="","",'게임기록'!$D$6)</f>
      </c>
      <c r="F3">
        <f>IF($A3="","",'게임기록'!$E$6)</f>
      </c>
      <c r="G3">
        <f>IF($A3="","",'게임기록'!$C$6+'게임기록'!$D$6+'게임기록'!$E$6)</f>
      </c>
    </row>
    <row r="4" spans="1:7" x14ac:dyDescent="0.25">
      <c r="A4">
        <f>IF(AND('게임기록'!$B$7&lt;&gt;"",'게임기록'!$C$7+'게임기록'!$D$7+'게임기록'!$E$7&gt;0),'게임기록'!$B$1,"")</f>
      </c>
      <c r="B4">
        <f>IF($A4="","",1)</f>
      </c>
      <c r="C4">
        <f>IF($A4="","",'게임기록'!$B$7)</f>
      </c>
      <c r="D4">
        <f>IF($A4="","",'게임기록'!$C$7)</f>
      </c>
      <c r="E4">
        <f>IF($A4="","",'게임기록'!$D$7)</f>
      </c>
      <c r="F4">
        <f>IF($A4="","",'게임기록'!$E$7)</f>
      </c>
      <c r="G4">
        <f>IF($A4="","",'게임기록'!$C$7+'게임기록'!$D$7+'게임기록'!$E$7)</f>
      </c>
    </row>
    <row r="5" spans="1:7" x14ac:dyDescent="0.25">
      <c r="A5">
        <f>IF(AND('게임기록'!$B$8&lt;&gt;"",'게임기록'!$C$8+'게임기록'!$D$8+'게임기록'!$E$8&gt;0),'게임기록'!$B$1,"")</f>
      </c>
      <c r="B5">
        <f>IF($A5="","",1)</f>
      </c>
      <c r="C5">
        <f>IF($A5="","",'게임기록'!$B$8)</f>
      </c>
      <c r="D5">
        <f>IF($A5="","",'게임기록'!$C$8)</f>
      </c>
      <c r="E5">
        <f>IF($A5="","",'게임기록'!$D$8)</f>
      </c>
      <c r="F5">
        <f>IF($A5="","",'게임기록'!$E$8)</f>
      </c>
      <c r="G5">
        <f>IF($A5="","",'게임기록'!$C$8+'게임기록'!$D$8+'게임기록'!$E$8)</f>
      </c>
    </row>
    <row r="6" spans="1:7" x14ac:dyDescent="0.25">
      <c r="A6">
        <f>IF(AND('게임기록'!$B$9&lt;&gt;"",'게임기록'!$C$9+'게임기록'!$D$9+'게임기록'!$E$9&gt;0),'게임기록'!$B$1,"")</f>
      </c>
      <c r="B6">
        <f>IF($A6="","",1)</f>
      </c>
      <c r="C6">
        <f>IF($A6="","",'게임기록'!$B$9)</f>
      </c>
      <c r="D6">
        <f>IF($A6="","",'게임기록'!$C$9)</f>
      </c>
      <c r="E6">
        <f>IF($A6="","",'게임기록'!$D$9)</f>
      </c>
      <c r="F6">
        <f>IF($A6="","",'게임기록'!$E$9)</f>
      </c>
      <c r="G6">
        <f>IF($A6="","",'게임기록'!$C$9+'게임기록'!$D$9+'게임기록'!$E$9)</f>
      </c>
    </row>
    <row r="7" spans="1:7" x14ac:dyDescent="0.25">
      <c r="A7">
        <f>IF(AND('게임기록'!$B$10&lt;&gt;"",'게임기록'!$C$10+'게임기록'!$D$10+'게임기록'!$E$10&gt;0),'게임기록'!$B$1,"")</f>
      </c>
      <c r="B7">
        <f>IF($A7="","",1)</f>
      </c>
      <c r="C7">
        <f>IF($A7="","",'게임기록'!$B$10)</f>
      </c>
      <c r="D7">
        <f>IF($A7="","",'게임기록'!$C$10)</f>
      </c>
      <c r="E7">
        <f>IF($A7="","",'게임기록'!$D$10)</f>
      </c>
      <c r="F7">
        <f>IF($A7="","",'게임기록'!$E$10)</f>
      </c>
      <c r="G7">
        <f>IF($A7="","",'게임기록'!$C$10+'게임기록'!$D$10+'게임기록'!$E$10)</f>
      </c>
    </row>
    <row r="8" spans="1:7" x14ac:dyDescent="0.25">
      <c r="A8">
        <f>IF(AND('게임기록'!$B$11&lt;&gt;"",'게임기록'!$C$11+'게임기록'!$D$11+'게임기록'!$E$11&gt;0),'게임기록'!$B$1,"")</f>
      </c>
      <c r="B8">
        <f>IF($A8="","",1)</f>
      </c>
      <c r="C8">
        <f>IF($A8="","",'게임기록'!$B$11)</f>
      </c>
      <c r="D8">
        <f>IF($A8="","",'게임기록'!$C$11)</f>
      </c>
      <c r="E8">
        <f>IF($A8="","",'게임기록'!$D$11)</f>
      </c>
      <c r="F8">
        <f>IF($A8="","",'게임기록'!$E$11)</f>
      </c>
      <c r="G8">
        <f>IF($A8="","",'게임기록'!$C$11+'게임기록'!$D$11+'게임기록'!$E$11)</f>
      </c>
    </row>
    <row r="9" spans="1:7" x14ac:dyDescent="0.25">
      <c r="A9">
        <f>IF(AND('게임기록'!$B$12&lt;&gt;"",'게임기록'!$C$12+'게임기록'!$D$12+'게임기록'!$E$12&gt;0),'게임기록'!$B$1,"")</f>
      </c>
      <c r="B9">
        <f>IF($A9="","",1)</f>
      </c>
      <c r="C9">
        <f>IF($A9="","",'게임기록'!$B$12)</f>
      </c>
      <c r="D9">
        <f>IF($A9="","",'게임기록'!$C$12)</f>
      </c>
      <c r="E9">
        <f>IF($A9="","",'게임기록'!$D$12)</f>
      </c>
      <c r="F9">
        <f>IF($A9="","",'게임기록'!$E$12)</f>
      </c>
      <c r="G9">
        <f>IF($A9="","",'게임기록'!$C$12+'게임기록'!$D$12+'게임기록'!$E$12)</f>
      </c>
    </row>
    <row r="10" spans="1:7" x14ac:dyDescent="0.25">
      <c r="A10">
        <f>IF(AND('게임기록'!$B$13&lt;&gt;"",'게임기록'!$C$13+'게임기록'!$D$13+'게임기록'!$E$13&gt;0),'게임기록'!$B$1,"")</f>
      </c>
      <c r="B10">
        <f>IF($A10="","",1)</f>
      </c>
      <c r="C10">
        <f>IF($A10="","",'게임기록'!$B$13)</f>
      </c>
      <c r="D10">
        <f>IF($A10="","",'게임기록'!$C$13)</f>
      </c>
      <c r="E10">
        <f>IF($A10="","",'게임기록'!$D$13)</f>
      </c>
      <c r="F10">
        <f>IF($A10="","",'게임기록'!$E$13)</f>
      </c>
      <c r="G10">
        <f>IF($A10="","",'게임기록'!$C$13+'게임기록'!$D$13+'게임기록'!$E$13)</f>
      </c>
    </row>
    <row r="11" spans="1:7" x14ac:dyDescent="0.25">
      <c r="A11">
        <f>IF(AND('게임기록'!$B$14&lt;&gt;"",'게임기록'!$C$14+'게임기록'!$D$14+'게임기록'!$E$14&gt;0),'게임기록'!$B$1,"")</f>
      </c>
      <c r="B11">
        <f>IF($A11="","",1)</f>
      </c>
      <c r="C11">
        <f>IF($A11="","",'게임기록'!$B$14)</f>
      </c>
      <c r="D11">
        <f>IF($A11="","",'게임기록'!$C$14)</f>
      </c>
      <c r="E11">
        <f>IF($A11="","",'게임기록'!$D$14)</f>
      </c>
      <c r="F11">
        <f>IF($A11="","",'게임기록'!$E$14)</f>
      </c>
      <c r="G11">
        <f>IF($A11="","",'게임기록'!$C$14+'게임기록'!$D$14+'게임기록'!$E$14)</f>
      </c>
    </row>
    <row r="12" spans="1:7" x14ac:dyDescent="0.25">
      <c r="A12">
        <f>IF(AND('게임기록'!$B$15&lt;&gt;"",'게임기록'!$C$15+'게임기록'!$D$15+'게임기록'!$E$15&gt;0),'게임기록'!$B$1,"")</f>
      </c>
      <c r="B12">
        <f>IF($A12="","",1)</f>
      </c>
      <c r="C12">
        <f>IF($A12="","",'게임기록'!$B$15)</f>
      </c>
      <c r="D12">
        <f>IF($A12="","",'게임기록'!$C$15)</f>
      </c>
      <c r="E12">
        <f>IF($A12="","",'게임기록'!$D$15)</f>
      </c>
      <c r="F12">
        <f>IF($A12="","",'게임기록'!$E$15)</f>
      </c>
      <c r="G12">
        <f>IF($A12="","",'게임기록'!$C$15+'게임기록'!$D$15+'게임기록'!$E$15)</f>
      </c>
    </row>
    <row r="13" spans="1:7" x14ac:dyDescent="0.25">
      <c r="A13">
        <f>IF(AND('게임기록'!$B$16&lt;&gt;"",'게임기록'!$C$16+'게임기록'!$D$16+'게임기록'!$E$16&gt;0),'게임기록'!$B$1,"")</f>
      </c>
      <c r="B13">
        <f>IF($A13="","",1)</f>
      </c>
      <c r="C13">
        <f>IF($A13="","",'게임기록'!$B$16)</f>
      </c>
      <c r="D13">
        <f>IF($A13="","",'게임기록'!$C$16)</f>
      </c>
      <c r="E13">
        <f>IF($A13="","",'게임기록'!$D$16)</f>
      </c>
      <c r="F13">
        <f>IF($A13="","",'게임기록'!$E$16)</f>
      </c>
      <c r="G13">
        <f>IF($A13="","",'게임기록'!$C$16+'게임기록'!$D$16+'게임기록'!$E$16)</f>
      </c>
    </row>
    <row r="14" spans="1:7" x14ac:dyDescent="0.25">
      <c r="A14">
        <f>IF(AND('게임기록'!$B$17&lt;&gt;"",'게임기록'!$C$17+'게임기록'!$D$17+'게임기록'!$E$17&gt;0),'게임기록'!$B$1,"")</f>
      </c>
      <c r="B14">
        <f>IF($A14="","",1)</f>
      </c>
      <c r="C14">
        <f>IF($A14="","",'게임기록'!$B$17)</f>
      </c>
      <c r="D14">
        <f>IF($A14="","",'게임기록'!$C$17)</f>
      </c>
      <c r="E14">
        <f>IF($A14="","",'게임기록'!$D$17)</f>
      </c>
      <c r="F14">
        <f>IF($A14="","",'게임기록'!$E$17)</f>
      </c>
      <c r="G14">
        <f>IF($A14="","",'게임기록'!$C$17+'게임기록'!$D$17+'게임기록'!$E$17)</f>
      </c>
    </row>
    <row r="15" spans="1:7" x14ac:dyDescent="0.25">
      <c r="A15">
        <f>IF(AND('게임기록'!$B$18&lt;&gt;"",'게임기록'!$C$18+'게임기록'!$D$18+'게임기록'!$E$18&gt;0),'게임기록'!$B$1,"")</f>
      </c>
      <c r="B15">
        <f>IF($A15="","",1)</f>
      </c>
      <c r="C15">
        <f>IF($A15="","",'게임기록'!$B$18)</f>
      </c>
      <c r="D15">
        <f>IF($A15="","",'게임기록'!$C$18)</f>
      </c>
      <c r="E15">
        <f>IF($A15="","",'게임기록'!$D$18)</f>
      </c>
      <c r="F15">
        <f>IF($A15="","",'게임기록'!$E$18)</f>
      </c>
      <c r="G15">
        <f>IF($A15="","",'게임기록'!$C$18+'게임기록'!$D$18+'게임기록'!$E$18)</f>
      </c>
    </row>
    <row r="16" spans="1:7" x14ac:dyDescent="0.25">
      <c r="A16">
        <f>IF(AND('게임기록'!$B$19&lt;&gt;"",'게임기록'!$C$19+'게임기록'!$D$19+'게임기록'!$E$19&gt;0),'게임기록'!$B$1,"")</f>
      </c>
      <c r="B16">
        <f>IF($A16="","",1)</f>
      </c>
      <c r="C16">
        <f>IF($A16="","",'게임기록'!$B$19)</f>
      </c>
      <c r="D16">
        <f>IF($A16="","",'게임기록'!$C$19)</f>
      </c>
      <c r="E16">
        <f>IF($A16="","",'게임기록'!$D$19)</f>
      </c>
      <c r="F16">
        <f>IF($A16="","",'게임기록'!$E$19)</f>
      </c>
      <c r="G16">
        <f>IF($A16="","",'게임기록'!$C$19+'게임기록'!$D$19+'게임기록'!$E$19)</f>
      </c>
    </row>
    <row r="17" spans="1:7" x14ac:dyDescent="0.25">
      <c r="A17">
        <f>IF(AND('게임기록'!$B$20&lt;&gt;"",'게임기록'!$C$20+'게임기록'!$D$20+'게임기록'!$E$20&gt;0),'게임기록'!$B$1,"")</f>
      </c>
      <c r="B17">
        <f>IF($A17="","",1)</f>
      </c>
      <c r="C17">
        <f>IF($A17="","",'게임기록'!$B$20)</f>
      </c>
      <c r="D17">
        <f>IF($A17="","",'게임기록'!$C$20)</f>
      </c>
      <c r="E17">
        <f>IF($A17="","",'게임기록'!$D$20)</f>
      </c>
      <c r="F17">
        <f>IF($A17="","",'게임기록'!$E$20)</f>
      </c>
      <c r="G17">
        <f>IF($A17="","",'게임기록'!$C$20+'게임기록'!$D$20+'게임기록'!$E$20)</f>
      </c>
    </row>
    <row r="18" spans="1:7" x14ac:dyDescent="0.25">
      <c r="A18">
        <f>IF(AND('게임기록'!$B$21&lt;&gt;"",'게임기록'!$C$21+'게임기록'!$D$21+'게임기록'!$E$21&gt;0),'게임기록'!$B$1,"")</f>
      </c>
      <c r="B18">
        <f>IF($A18="","",1)</f>
      </c>
      <c r="C18">
        <f>IF($A18="","",'게임기록'!$B$21)</f>
      </c>
      <c r="D18">
        <f>IF($A18="","",'게임기록'!$C$21)</f>
      </c>
      <c r="E18">
        <f>IF($A18="","",'게임기록'!$D$21)</f>
      </c>
      <c r="F18">
        <f>IF($A18="","",'게임기록'!$E$21)</f>
      </c>
      <c r="G18">
        <f>IF($A18="","",'게임기록'!$C$21+'게임기록'!$D$21+'게임기록'!$E$21)</f>
      </c>
    </row>
    <row r="19" spans="1:7" x14ac:dyDescent="0.25">
      <c r="A19">
        <f>IF(AND('게임기록'!$B$22&lt;&gt;"",'게임기록'!$C$22+'게임기록'!$D$22+'게임기록'!$E$22&gt;0),'게임기록'!$B$1,"")</f>
      </c>
      <c r="B19">
        <f>IF($A19="","",1)</f>
      </c>
      <c r="C19">
        <f>IF($A19="","",'게임기록'!$B$22)</f>
      </c>
      <c r="D19">
        <f>IF($A19="","",'게임기록'!$C$22)</f>
      </c>
      <c r="E19">
        <f>IF($A19="","",'게임기록'!$D$22)</f>
      </c>
      <c r="F19">
        <f>IF($A19="","",'게임기록'!$E$22)</f>
      </c>
      <c r="G19">
        <f>IF($A19="","",'게임기록'!$C$22+'게임기록'!$D$22+'게임기록'!$E$22)</f>
      </c>
    </row>
    <row r="20" spans="1:7" x14ac:dyDescent="0.25">
      <c r="A20">
        <f>IF(AND('게임기록'!$B$23&lt;&gt;"",'게임기록'!$C$23+'게임기록'!$D$23+'게임기록'!$E$23&gt;0),'게임기록'!$B$1,"")</f>
      </c>
      <c r="B20">
        <f>IF($A20="","",1)</f>
      </c>
      <c r="C20">
        <f>IF($A20="","",'게임기록'!$B$23)</f>
      </c>
      <c r="D20">
        <f>IF($A20="","",'게임기록'!$C$23)</f>
      </c>
      <c r="E20">
        <f>IF($A20="","",'게임기록'!$D$23)</f>
      </c>
      <c r="F20">
        <f>IF($A20="","",'게임기록'!$E$23)</f>
      </c>
      <c r="G20">
        <f>IF($A20="","",'게임기록'!$C$23+'게임기록'!$D$23+'게임기록'!$E$23)</f>
      </c>
    </row>
    <row r="21" spans="1:7" x14ac:dyDescent="0.25">
      <c r="A21">
        <f>IF(AND('게임기록'!$B$24&lt;&gt;"",'게임기록'!$C$24+'게임기록'!$D$24+'게임기록'!$E$24&gt;0),'게임기록'!$B$1,"")</f>
      </c>
      <c r="B21">
        <f>IF($A21="","",1)</f>
      </c>
      <c r="C21">
        <f>IF($A21="","",'게임기록'!$B$24)</f>
      </c>
      <c r="D21">
        <f>IF($A21="","",'게임기록'!$C$24)</f>
      </c>
      <c r="E21">
        <f>IF($A21="","",'게임기록'!$D$24)</f>
      </c>
      <c r="F21">
        <f>IF($A21="","",'게임기록'!$E$24)</f>
      </c>
      <c r="G21">
        <f>IF($A21="","",'게임기록'!$C$24+'게임기록'!$D$24+'게임기록'!$E$24)</f>
      </c>
    </row>
    <row r="22" spans="1:7" x14ac:dyDescent="0.25">
      <c r="A22">
        <f>IF(AND('게임기록'!$H$5&lt;&gt;"",'게임기록'!$I$5+'게임기록'!$J$5+'게임기록'!$K$5&gt;0),'게임기록'!$B$1,"")</f>
      </c>
      <c r="B22">
        <f>IF($A22="","",2)</f>
      </c>
      <c r="C22">
        <f>IF($A22="","",'게임기록'!$H$5)</f>
      </c>
      <c r="D22">
        <f>IF($A22="","",'게임기록'!$I$5)</f>
      </c>
      <c r="E22">
        <f>IF($A22="","",'게임기록'!$J$5)</f>
      </c>
      <c r="F22">
        <f>IF($A22="","",'게임기록'!$K$5)</f>
      </c>
      <c r="G22">
        <f>IF($A22="","",'게임기록'!$I$5+'게임기록'!$J$5+'게임기록'!$K$5)</f>
      </c>
    </row>
    <row r="23" spans="1:7" x14ac:dyDescent="0.25">
      <c r="A23">
        <f>IF(AND('게임기록'!$H$6&lt;&gt;"",'게임기록'!$I$6+'게임기록'!$J$6+'게임기록'!$K$6&gt;0),'게임기록'!$B$1,"")</f>
      </c>
      <c r="B23">
        <f>IF($A23="","",2)</f>
      </c>
      <c r="C23">
        <f>IF($A23="","",'게임기록'!$H$6)</f>
      </c>
      <c r="D23">
        <f>IF($A23="","",'게임기록'!$I$6)</f>
      </c>
      <c r="E23">
        <f>IF($A23="","",'게임기록'!$J$6)</f>
      </c>
      <c r="F23">
        <f>IF($A23="","",'게임기록'!$K$6)</f>
      </c>
      <c r="G23">
        <f>IF($A23="","",'게임기록'!$I$6+'게임기록'!$J$6+'게임기록'!$K$6)</f>
      </c>
    </row>
    <row r="24" spans="1:7" x14ac:dyDescent="0.25">
      <c r="A24">
        <f>IF(AND('게임기록'!$H$7&lt;&gt;"",'게임기록'!$I$7+'게임기록'!$J$7+'게임기록'!$K$7&gt;0),'게임기록'!$B$1,"")</f>
      </c>
      <c r="B24">
        <f>IF($A24="","",2)</f>
      </c>
      <c r="C24">
        <f>IF($A24="","",'게임기록'!$H$7)</f>
      </c>
      <c r="D24">
        <f>IF($A24="","",'게임기록'!$I$7)</f>
      </c>
      <c r="E24">
        <f>IF($A24="","",'게임기록'!$J$7)</f>
      </c>
      <c r="F24">
        <f>IF($A24="","",'게임기록'!$K$7)</f>
      </c>
      <c r="G24">
        <f>IF($A24="","",'게임기록'!$I$7+'게임기록'!$J$7+'게임기록'!$K$7)</f>
      </c>
    </row>
    <row r="25" spans="1:7" x14ac:dyDescent="0.25">
      <c r="A25">
        <f>IF(AND('게임기록'!$H$8&lt;&gt;"",'게임기록'!$I$8+'게임기록'!$J$8+'게임기록'!$K$8&gt;0),'게임기록'!$B$1,"")</f>
      </c>
      <c r="B25">
        <f>IF($A25="","",2)</f>
      </c>
      <c r="C25">
        <f>IF($A25="","",'게임기록'!$H$8)</f>
      </c>
      <c r="D25">
        <f>IF($A25="","",'게임기록'!$I$8)</f>
      </c>
      <c r="E25">
        <f>IF($A25="","",'게임기록'!$J$8)</f>
      </c>
      <c r="F25">
        <f>IF($A25="","",'게임기록'!$K$8)</f>
      </c>
      <c r="G25">
        <f>IF($A25="","",'게임기록'!$I$8+'게임기록'!$J$8+'게임기록'!$K$8)</f>
      </c>
    </row>
    <row r="26" spans="1:7" x14ac:dyDescent="0.25">
      <c r="A26">
        <f>IF(AND('게임기록'!$H$9&lt;&gt;"",'게임기록'!$I$9+'게임기록'!$J$9+'게임기록'!$K$9&gt;0),'게임기록'!$B$1,"")</f>
      </c>
      <c r="B26">
        <f>IF($A26="","",2)</f>
      </c>
      <c r="C26">
        <f>IF($A26="","",'게임기록'!$H$9)</f>
      </c>
      <c r="D26">
        <f>IF($A26="","",'게임기록'!$I$9)</f>
      </c>
      <c r="E26">
        <f>IF($A26="","",'게임기록'!$J$9)</f>
      </c>
      <c r="F26">
        <f>IF($A26="","",'게임기록'!$K$9)</f>
      </c>
      <c r="G26">
        <f>IF($A26="","",'게임기록'!$I$9+'게임기록'!$J$9+'게임기록'!$K$9)</f>
      </c>
    </row>
    <row r="27" spans="1:7" x14ac:dyDescent="0.25">
      <c r="A27">
        <f>IF(AND('게임기록'!$H$10&lt;&gt;"",'게임기록'!$I$10+'게임기록'!$J$10+'게임기록'!$K$10&gt;0),'게임기록'!$B$1,"")</f>
      </c>
      <c r="B27">
        <f>IF($A27="","",2)</f>
      </c>
      <c r="C27">
        <f>IF($A27="","",'게임기록'!$H$10)</f>
      </c>
      <c r="D27">
        <f>IF($A27="","",'게임기록'!$I$10)</f>
      </c>
      <c r="E27">
        <f>IF($A27="","",'게임기록'!$J$10)</f>
      </c>
      <c r="F27">
        <f>IF($A27="","",'게임기록'!$K$10)</f>
      </c>
      <c r="G27">
        <f>IF($A27="","",'게임기록'!$I$10+'게임기록'!$J$10+'게임기록'!$K$10)</f>
      </c>
    </row>
    <row r="28" spans="1:7" x14ac:dyDescent="0.25">
      <c r="A28">
        <f>IF(AND('게임기록'!$H$11&lt;&gt;"",'게임기록'!$I$11+'게임기록'!$J$11+'게임기록'!$K$11&gt;0),'게임기록'!$B$1,"")</f>
      </c>
      <c r="B28">
        <f>IF($A28="","",2)</f>
      </c>
      <c r="C28">
        <f>IF($A28="","",'게임기록'!$H$11)</f>
      </c>
      <c r="D28">
        <f>IF($A28="","",'게임기록'!$I$11)</f>
      </c>
      <c r="E28">
        <f>IF($A28="","",'게임기록'!$J$11)</f>
      </c>
      <c r="F28">
        <f>IF($A28="","",'게임기록'!$K$11)</f>
      </c>
      <c r="G28">
        <f>IF($A28="","",'게임기록'!$I$11+'게임기록'!$J$11+'게임기록'!$K$11)</f>
      </c>
    </row>
    <row r="29" spans="1:7" x14ac:dyDescent="0.25">
      <c r="A29">
        <f>IF(AND('게임기록'!$H$12&lt;&gt;"",'게임기록'!$I$12+'게임기록'!$J$12+'게임기록'!$K$12&gt;0),'게임기록'!$B$1,"")</f>
      </c>
      <c r="B29">
        <f>IF($A29="","",2)</f>
      </c>
      <c r="C29">
        <f>IF($A29="","",'게임기록'!$H$12)</f>
      </c>
      <c r="D29">
        <f>IF($A29="","",'게임기록'!$I$12)</f>
      </c>
      <c r="E29">
        <f>IF($A29="","",'게임기록'!$J$12)</f>
      </c>
      <c r="F29">
        <f>IF($A29="","",'게임기록'!$K$12)</f>
      </c>
      <c r="G29">
        <f>IF($A29="","",'게임기록'!$I$12+'게임기록'!$J$12+'게임기록'!$K$12)</f>
      </c>
    </row>
    <row r="30" spans="1:7" x14ac:dyDescent="0.25">
      <c r="A30">
        <f>IF(AND('게임기록'!$H$13&lt;&gt;"",'게임기록'!$I$13+'게임기록'!$J$13+'게임기록'!$K$13&gt;0),'게임기록'!$B$1,"")</f>
      </c>
      <c r="B30">
        <f>IF($A30="","",2)</f>
      </c>
      <c r="C30">
        <f>IF($A30="","",'게임기록'!$H$13)</f>
      </c>
      <c r="D30">
        <f>IF($A30="","",'게임기록'!$I$13)</f>
      </c>
      <c r="E30">
        <f>IF($A30="","",'게임기록'!$J$13)</f>
      </c>
      <c r="F30">
        <f>IF($A30="","",'게임기록'!$K$13)</f>
      </c>
      <c r="G30">
        <f>IF($A30="","",'게임기록'!$I$13+'게임기록'!$J$13+'게임기록'!$K$13)</f>
      </c>
    </row>
    <row r="31" spans="1:7" x14ac:dyDescent="0.25">
      <c r="A31">
        <f>IF(AND('게임기록'!$H$14&lt;&gt;"",'게임기록'!$I$14+'게임기록'!$J$14+'게임기록'!$K$14&gt;0),'게임기록'!$B$1,"")</f>
      </c>
      <c r="B31">
        <f>IF($A31="","",2)</f>
      </c>
      <c r="C31">
        <f>IF($A31="","",'게임기록'!$H$14)</f>
      </c>
      <c r="D31">
        <f>IF($A31="","",'게임기록'!$I$14)</f>
      </c>
      <c r="E31">
        <f>IF($A31="","",'게임기록'!$J$14)</f>
      </c>
      <c r="F31">
        <f>IF($A31="","",'게임기록'!$K$14)</f>
      </c>
      <c r="G31">
        <f>IF($A31="","",'게임기록'!$I$14+'게임기록'!$J$14+'게임기록'!$K$14)</f>
      </c>
    </row>
    <row r="32" spans="1:7" x14ac:dyDescent="0.25">
      <c r="A32">
        <f>IF(AND('게임기록'!$H$15&lt;&gt;"",'게임기록'!$I$15+'게임기록'!$J$15+'게임기록'!$K$15&gt;0),'게임기록'!$B$1,"")</f>
      </c>
      <c r="B32">
        <f>IF($A32="","",2)</f>
      </c>
      <c r="C32">
        <f>IF($A32="","",'게임기록'!$H$15)</f>
      </c>
      <c r="D32">
        <f>IF($A32="","",'게임기록'!$I$15)</f>
      </c>
      <c r="E32">
        <f>IF($A32="","",'게임기록'!$J$15)</f>
      </c>
      <c r="F32">
        <f>IF($A32="","",'게임기록'!$K$15)</f>
      </c>
      <c r="G32">
        <f>IF($A32="","",'게임기록'!$I$15+'게임기록'!$J$15+'게임기록'!$K$15)</f>
      </c>
    </row>
    <row r="33" spans="1:7" x14ac:dyDescent="0.25">
      <c r="A33">
        <f>IF(AND('게임기록'!$H$16&lt;&gt;"",'게임기록'!$I$16+'게임기록'!$J$16+'게임기록'!$K$16&gt;0),'게임기록'!$B$1,"")</f>
      </c>
      <c r="B33">
        <f>IF($A33="","",2)</f>
      </c>
      <c r="C33">
        <f>IF($A33="","",'게임기록'!$H$16)</f>
      </c>
      <c r="D33">
        <f>IF($A33="","",'게임기록'!$I$16)</f>
      </c>
      <c r="E33">
        <f>IF($A33="","",'게임기록'!$J$16)</f>
      </c>
      <c r="F33">
        <f>IF($A33="","",'게임기록'!$K$16)</f>
      </c>
      <c r="G33">
        <f>IF($A33="","",'게임기록'!$I$16+'게임기록'!$J$16+'게임기록'!$K$16)</f>
      </c>
    </row>
    <row r="34" spans="1:7" x14ac:dyDescent="0.25">
      <c r="A34">
        <f>IF(AND('게임기록'!$H$17&lt;&gt;"",'게임기록'!$I$17+'게임기록'!$J$17+'게임기록'!$K$17&gt;0),'게임기록'!$B$1,"")</f>
      </c>
      <c r="B34">
        <f>IF($A34="","",2)</f>
      </c>
      <c r="C34">
        <f>IF($A34="","",'게임기록'!$H$17)</f>
      </c>
      <c r="D34">
        <f>IF($A34="","",'게임기록'!$I$17)</f>
      </c>
      <c r="E34">
        <f>IF($A34="","",'게임기록'!$J$17)</f>
      </c>
      <c r="F34">
        <f>IF($A34="","",'게임기록'!$K$17)</f>
      </c>
      <c r="G34">
        <f>IF($A34="","",'게임기록'!$I$17+'게임기록'!$J$17+'게임기록'!$K$17)</f>
      </c>
    </row>
    <row r="35" spans="1:7" x14ac:dyDescent="0.25">
      <c r="A35">
        <f>IF(AND('게임기록'!$H$18&lt;&gt;"",'게임기록'!$I$18+'게임기록'!$J$18+'게임기록'!$K$18&gt;0),'게임기록'!$B$1,"")</f>
      </c>
      <c r="B35">
        <f>IF($A35="","",2)</f>
      </c>
      <c r="C35">
        <f>IF($A35="","",'게임기록'!$H$18)</f>
      </c>
      <c r="D35">
        <f>IF($A35="","",'게임기록'!$I$18)</f>
      </c>
      <c r="E35">
        <f>IF($A35="","",'게임기록'!$J$18)</f>
      </c>
      <c r="F35">
        <f>IF($A35="","",'게임기록'!$K$18)</f>
      </c>
      <c r="G35">
        <f>IF($A35="","",'게임기록'!$I$18+'게임기록'!$J$18+'게임기록'!$K$18)</f>
      </c>
    </row>
    <row r="36" spans="1:7" x14ac:dyDescent="0.25">
      <c r="A36">
        <f>IF(AND('게임기록'!$H$19&lt;&gt;"",'게임기록'!$I$19+'게임기록'!$J$19+'게임기록'!$K$19&gt;0),'게임기록'!$B$1,"")</f>
      </c>
      <c r="B36">
        <f>IF($A36="","",2)</f>
      </c>
      <c r="C36">
        <f>IF($A36="","",'게임기록'!$H$19)</f>
      </c>
      <c r="D36">
        <f>IF($A36="","",'게임기록'!$I$19)</f>
      </c>
      <c r="E36">
        <f>IF($A36="","",'게임기록'!$J$19)</f>
      </c>
      <c r="F36">
        <f>IF($A36="","",'게임기록'!$K$19)</f>
      </c>
      <c r="G36">
        <f>IF($A36="","",'게임기록'!$I$19+'게임기록'!$J$19+'게임기록'!$K$19)</f>
      </c>
    </row>
    <row r="37" spans="1:7" x14ac:dyDescent="0.25">
      <c r="A37">
        <f>IF(AND('게임기록'!$H$20&lt;&gt;"",'게임기록'!$I$20+'게임기록'!$J$20+'게임기록'!$K$20&gt;0),'게임기록'!$B$1,"")</f>
      </c>
      <c r="B37">
        <f>IF($A37="","",2)</f>
      </c>
      <c r="C37">
        <f>IF($A37="","",'게임기록'!$H$20)</f>
      </c>
      <c r="D37">
        <f>IF($A37="","",'게임기록'!$I$20)</f>
      </c>
      <c r="E37">
        <f>IF($A37="","",'게임기록'!$J$20)</f>
      </c>
      <c r="F37">
        <f>IF($A37="","",'게임기록'!$K$20)</f>
      </c>
      <c r="G37">
        <f>IF($A37="","",'게임기록'!$I$20+'게임기록'!$J$20+'게임기록'!$K$20)</f>
      </c>
    </row>
    <row r="38" spans="1:7" x14ac:dyDescent="0.25">
      <c r="A38">
        <f>IF(AND('게임기록'!$H$21&lt;&gt;"",'게임기록'!$I$21+'게임기록'!$J$21+'게임기록'!$K$21&gt;0),'게임기록'!$B$1,"")</f>
      </c>
      <c r="B38">
        <f>IF($A38="","",2)</f>
      </c>
      <c r="C38">
        <f>IF($A38="","",'게임기록'!$H$21)</f>
      </c>
      <c r="D38">
        <f>IF($A38="","",'게임기록'!$I$21)</f>
      </c>
      <c r="E38">
        <f>IF($A38="","",'게임기록'!$J$21)</f>
      </c>
      <c r="F38">
        <f>IF($A38="","",'게임기록'!$K$21)</f>
      </c>
      <c r="G38">
        <f>IF($A38="","",'게임기록'!$I$21+'게임기록'!$J$21+'게임기록'!$K$21)</f>
      </c>
    </row>
    <row r="39" spans="1:7" x14ac:dyDescent="0.25">
      <c r="A39">
        <f>IF(AND('게임기록'!$H$22&lt;&gt;"",'게임기록'!$I$22+'게임기록'!$J$22+'게임기록'!$K$22&gt;0),'게임기록'!$B$1,"")</f>
      </c>
      <c r="B39">
        <f>IF($A39="","",2)</f>
      </c>
      <c r="C39">
        <f>IF($A39="","",'게임기록'!$H$22)</f>
      </c>
      <c r="D39">
        <f>IF($A39="","",'게임기록'!$I$22)</f>
      </c>
      <c r="E39">
        <f>IF($A39="","",'게임기록'!$J$22)</f>
      </c>
      <c r="F39">
        <f>IF($A39="","",'게임기록'!$K$22)</f>
      </c>
      <c r="G39">
        <f>IF($A39="","",'게임기록'!$I$22+'게임기록'!$J$22+'게임기록'!$K$22)</f>
      </c>
    </row>
    <row r="40" spans="1:7" x14ac:dyDescent="0.25">
      <c r="A40">
        <f>IF(AND('게임기록'!$H$23&lt;&gt;"",'게임기록'!$I$23+'게임기록'!$J$23+'게임기록'!$K$23&gt;0),'게임기록'!$B$1,"")</f>
      </c>
      <c r="B40">
        <f>IF($A40="","",2)</f>
      </c>
      <c r="C40">
        <f>IF($A40="","",'게임기록'!$H$23)</f>
      </c>
      <c r="D40">
        <f>IF($A40="","",'게임기록'!$I$23)</f>
      </c>
      <c r="E40">
        <f>IF($A40="","",'게임기록'!$J$23)</f>
      </c>
      <c r="F40">
        <f>IF($A40="","",'게임기록'!$K$23)</f>
      </c>
      <c r="G40">
        <f>IF($A40="","",'게임기록'!$I$23+'게임기록'!$J$23+'게임기록'!$K$23)</f>
      </c>
    </row>
    <row r="41" spans="1:7" x14ac:dyDescent="0.25">
      <c r="A41">
        <f>IF(AND('게임기록'!$H$24&lt;&gt;"",'게임기록'!$I$24+'게임기록'!$J$24+'게임기록'!$K$24&gt;0),'게임기록'!$B$1,"")</f>
      </c>
      <c r="B41">
        <f>IF($A41="","",2)</f>
      </c>
      <c r="C41">
        <f>IF($A41="","",'게임기록'!$H$24)</f>
      </c>
      <c r="D41">
        <f>IF($A41="","",'게임기록'!$I$24)</f>
      </c>
      <c r="E41">
        <f>IF($A41="","",'게임기록'!$J$24)</f>
      </c>
      <c r="F41">
        <f>IF($A41="","",'게임기록'!$K$24)</f>
      </c>
      <c r="G41">
        <f>IF($A41="","",'게임기록'!$I$24+'게임기록'!$J$24+'게임기록'!$K$24)</f>
      </c>
    </row>
    <row r="42" spans="1:7" x14ac:dyDescent="0.25">
      <c r="A42">
        <f>IF(AND('게임기록'!$N$5&lt;&gt;"",'게임기록'!$O$5+'게임기록'!$P$5+'게임기록'!$Q$5&gt;0),'게임기록'!$B$1,"")</f>
      </c>
      <c r="B42">
        <f>IF($A42="","",3)</f>
      </c>
      <c r="C42">
        <f>IF($A42="","",'게임기록'!$N$5)</f>
      </c>
      <c r="D42">
        <f>IF($A42="","",'게임기록'!$O$5)</f>
      </c>
      <c r="E42">
        <f>IF($A42="","",'게임기록'!$P$5)</f>
      </c>
      <c r="F42">
        <f>IF($A42="","",'게임기록'!$Q$5)</f>
      </c>
      <c r="G42">
        <f>IF($A42="","",'게임기록'!$O$5+'게임기록'!$P$5+'게임기록'!$Q$5)</f>
      </c>
    </row>
    <row r="43" spans="1:7" x14ac:dyDescent="0.25">
      <c r="A43">
        <f>IF(AND('게임기록'!$N$6&lt;&gt;"",'게임기록'!$O$6+'게임기록'!$P$6+'게임기록'!$Q$6&gt;0),'게임기록'!$B$1,"")</f>
      </c>
      <c r="B43">
        <f>IF($A43="","",3)</f>
      </c>
      <c r="C43">
        <f>IF($A43="","",'게임기록'!$N$6)</f>
      </c>
      <c r="D43">
        <f>IF($A43="","",'게임기록'!$O$6)</f>
      </c>
      <c r="E43">
        <f>IF($A43="","",'게임기록'!$P$6)</f>
      </c>
      <c r="F43">
        <f>IF($A43="","",'게임기록'!$Q$6)</f>
      </c>
      <c r="G43">
        <f>IF($A43="","",'게임기록'!$O$6+'게임기록'!$P$6+'게임기록'!$Q$6)</f>
      </c>
    </row>
    <row r="44" spans="1:7" x14ac:dyDescent="0.25">
      <c r="A44">
        <f>IF(AND('게임기록'!$N$7&lt;&gt;"",'게임기록'!$O$7+'게임기록'!$P$7+'게임기록'!$Q$7&gt;0),'게임기록'!$B$1,"")</f>
      </c>
      <c r="B44">
        <f>IF($A44="","",3)</f>
      </c>
      <c r="C44">
        <f>IF($A44="","",'게임기록'!$N$7)</f>
      </c>
      <c r="D44">
        <f>IF($A44="","",'게임기록'!$O$7)</f>
      </c>
      <c r="E44">
        <f>IF($A44="","",'게임기록'!$P$7)</f>
      </c>
      <c r="F44">
        <f>IF($A44="","",'게임기록'!$Q$7)</f>
      </c>
      <c r="G44">
        <f>IF($A44="","",'게임기록'!$O$7+'게임기록'!$P$7+'게임기록'!$Q$7)</f>
      </c>
    </row>
    <row r="45" spans="1:7" x14ac:dyDescent="0.25">
      <c r="A45">
        <f>IF(AND('게임기록'!$N$8&lt;&gt;"",'게임기록'!$O$8+'게임기록'!$P$8+'게임기록'!$Q$8&gt;0),'게임기록'!$B$1,"")</f>
      </c>
      <c r="B45">
        <f>IF($A45="","",3)</f>
      </c>
      <c r="C45">
        <f>IF($A45="","",'게임기록'!$N$8)</f>
      </c>
      <c r="D45">
        <f>IF($A45="","",'게임기록'!$O$8)</f>
      </c>
      <c r="E45">
        <f>IF($A45="","",'게임기록'!$P$8)</f>
      </c>
      <c r="F45">
        <f>IF($A45="","",'게임기록'!$Q$8)</f>
      </c>
      <c r="G45">
        <f>IF($A45="","",'게임기록'!$O$8+'게임기록'!$P$8+'게임기록'!$Q$8)</f>
      </c>
    </row>
    <row r="46" spans="1:7" x14ac:dyDescent="0.25">
      <c r="A46">
        <f>IF(AND('게임기록'!$N$9&lt;&gt;"",'게임기록'!$O$9+'게임기록'!$P$9+'게임기록'!$Q$9&gt;0),'게임기록'!$B$1,"")</f>
      </c>
      <c r="B46">
        <f>IF($A46="","",3)</f>
      </c>
      <c r="C46">
        <f>IF($A46="","",'게임기록'!$N$9)</f>
      </c>
      <c r="D46">
        <f>IF($A46="","",'게임기록'!$O$9)</f>
      </c>
      <c r="E46">
        <f>IF($A46="","",'게임기록'!$P$9)</f>
      </c>
      <c r="F46">
        <f>IF($A46="","",'게임기록'!$Q$9)</f>
      </c>
      <c r="G46">
        <f>IF($A46="","",'게임기록'!$O$9+'게임기록'!$P$9+'게임기록'!$Q$9)</f>
      </c>
    </row>
    <row r="47" spans="1:7" x14ac:dyDescent="0.25">
      <c r="A47">
        <f>IF(AND('게임기록'!$N$10&lt;&gt;"",'게임기록'!$O$10+'게임기록'!$P$10+'게임기록'!$Q$10&gt;0),'게임기록'!$B$1,"")</f>
      </c>
      <c r="B47">
        <f>IF($A47="","",3)</f>
      </c>
      <c r="C47">
        <f>IF($A47="","",'게임기록'!$N$10)</f>
      </c>
      <c r="D47">
        <f>IF($A47="","",'게임기록'!$O$10)</f>
      </c>
      <c r="E47">
        <f>IF($A47="","",'게임기록'!$P$10)</f>
      </c>
      <c r="F47">
        <f>IF($A47="","",'게임기록'!$Q$10)</f>
      </c>
      <c r="G47">
        <f>IF($A47="","",'게임기록'!$O$10+'게임기록'!$P$10+'게임기록'!$Q$10)</f>
      </c>
    </row>
    <row r="48" spans="1:7" x14ac:dyDescent="0.25">
      <c r="A48">
        <f>IF(AND('게임기록'!$N$11&lt;&gt;"",'게임기록'!$O$11+'게임기록'!$P$11+'게임기록'!$Q$11&gt;0),'게임기록'!$B$1,"")</f>
      </c>
      <c r="B48">
        <f>IF($A48="","",3)</f>
      </c>
      <c r="C48">
        <f>IF($A48="","",'게임기록'!$N$11)</f>
      </c>
      <c r="D48">
        <f>IF($A48="","",'게임기록'!$O$11)</f>
      </c>
      <c r="E48">
        <f>IF($A48="","",'게임기록'!$P$11)</f>
      </c>
      <c r="F48">
        <f>IF($A48="","",'게임기록'!$Q$11)</f>
      </c>
      <c r="G48">
        <f>IF($A48="","",'게임기록'!$O$11+'게임기록'!$P$11+'게임기록'!$Q$11)</f>
      </c>
    </row>
    <row r="49" spans="1:7" x14ac:dyDescent="0.25">
      <c r="A49">
        <f>IF(AND('게임기록'!$N$12&lt;&gt;"",'게임기록'!$O$12+'게임기록'!$P$12+'게임기록'!$Q$12&gt;0),'게임기록'!$B$1,"")</f>
      </c>
      <c r="B49">
        <f>IF($A49="","",3)</f>
      </c>
      <c r="C49">
        <f>IF($A49="","",'게임기록'!$N$12)</f>
      </c>
      <c r="D49">
        <f>IF($A49="","",'게임기록'!$O$12)</f>
      </c>
      <c r="E49">
        <f>IF($A49="","",'게임기록'!$P$12)</f>
      </c>
      <c r="F49">
        <f>IF($A49="","",'게임기록'!$Q$12)</f>
      </c>
      <c r="G49">
        <f>IF($A49="","",'게임기록'!$O$12+'게임기록'!$P$12+'게임기록'!$Q$12)</f>
      </c>
    </row>
    <row r="50" spans="1:7" x14ac:dyDescent="0.25">
      <c r="A50">
        <f>IF(AND('게임기록'!$N$13&lt;&gt;"",'게임기록'!$O$13+'게임기록'!$P$13+'게임기록'!$Q$13&gt;0),'게임기록'!$B$1,"")</f>
      </c>
      <c r="B50">
        <f>IF($A50="","",3)</f>
      </c>
      <c r="C50">
        <f>IF($A50="","",'게임기록'!$N$13)</f>
      </c>
      <c r="D50">
        <f>IF($A50="","",'게임기록'!$O$13)</f>
      </c>
      <c r="E50">
        <f>IF($A50="","",'게임기록'!$P$13)</f>
      </c>
      <c r="F50">
        <f>IF($A50="","",'게임기록'!$Q$13)</f>
      </c>
      <c r="G50">
        <f>IF($A50="","",'게임기록'!$O$13+'게임기록'!$P$13+'게임기록'!$Q$13)</f>
      </c>
    </row>
    <row r="51" spans="1:7" x14ac:dyDescent="0.25">
      <c r="A51">
        <f>IF(AND('게임기록'!$N$14&lt;&gt;"",'게임기록'!$O$14+'게임기록'!$P$14+'게임기록'!$Q$14&gt;0),'게임기록'!$B$1,"")</f>
      </c>
      <c r="B51">
        <f>IF($A51="","",3)</f>
      </c>
      <c r="C51">
        <f>IF($A51="","",'게임기록'!$N$14)</f>
      </c>
      <c r="D51">
        <f>IF($A51="","",'게임기록'!$O$14)</f>
      </c>
      <c r="E51">
        <f>IF($A51="","",'게임기록'!$P$14)</f>
      </c>
      <c r="F51">
        <f>IF($A51="","",'게임기록'!$Q$14)</f>
      </c>
      <c r="G51">
        <f>IF($A51="","",'게임기록'!$O$14+'게임기록'!$P$14+'게임기록'!$Q$14)</f>
      </c>
    </row>
    <row r="52" spans="1:7" x14ac:dyDescent="0.25">
      <c r="A52">
        <f>IF(AND('게임기록'!$N$15&lt;&gt;"",'게임기록'!$O$15+'게임기록'!$P$15+'게임기록'!$Q$15&gt;0),'게임기록'!$B$1,"")</f>
      </c>
      <c r="B52">
        <f>IF($A52="","",3)</f>
      </c>
      <c r="C52">
        <f>IF($A52="","",'게임기록'!$N$15)</f>
      </c>
      <c r="D52">
        <f>IF($A52="","",'게임기록'!$O$15)</f>
      </c>
      <c r="E52">
        <f>IF($A52="","",'게임기록'!$P$15)</f>
      </c>
      <c r="F52">
        <f>IF($A52="","",'게임기록'!$Q$15)</f>
      </c>
      <c r="G52">
        <f>IF($A52="","",'게임기록'!$O$15+'게임기록'!$P$15+'게임기록'!$Q$15)</f>
      </c>
    </row>
    <row r="53" spans="1:7" x14ac:dyDescent="0.25">
      <c r="A53">
        <f>IF(AND('게임기록'!$N$16&lt;&gt;"",'게임기록'!$O$16+'게임기록'!$P$16+'게임기록'!$Q$16&gt;0),'게임기록'!$B$1,"")</f>
      </c>
      <c r="B53">
        <f>IF($A53="","",3)</f>
      </c>
      <c r="C53">
        <f>IF($A53="","",'게임기록'!$N$16)</f>
      </c>
      <c r="D53">
        <f>IF($A53="","",'게임기록'!$O$16)</f>
      </c>
      <c r="E53">
        <f>IF($A53="","",'게임기록'!$P$16)</f>
      </c>
      <c r="F53">
        <f>IF($A53="","",'게임기록'!$Q$16)</f>
      </c>
      <c r="G53">
        <f>IF($A53="","",'게임기록'!$O$16+'게임기록'!$P$16+'게임기록'!$Q$16)</f>
      </c>
    </row>
    <row r="54" spans="1:7" x14ac:dyDescent="0.25">
      <c r="A54">
        <f>IF(AND('게임기록'!$N$17&lt;&gt;"",'게임기록'!$O$17+'게임기록'!$P$17+'게임기록'!$Q$17&gt;0),'게임기록'!$B$1,"")</f>
      </c>
      <c r="B54">
        <f>IF($A54="","",3)</f>
      </c>
      <c r="C54">
        <f>IF($A54="","",'게임기록'!$N$17)</f>
      </c>
      <c r="D54">
        <f>IF($A54="","",'게임기록'!$O$17)</f>
      </c>
      <c r="E54">
        <f>IF($A54="","",'게임기록'!$P$17)</f>
      </c>
      <c r="F54">
        <f>IF($A54="","",'게임기록'!$Q$17)</f>
      </c>
      <c r="G54">
        <f>IF($A54="","",'게임기록'!$O$17+'게임기록'!$P$17+'게임기록'!$Q$17)</f>
      </c>
    </row>
    <row r="55" spans="1:7" x14ac:dyDescent="0.25">
      <c r="A55">
        <f>IF(AND('게임기록'!$N$18&lt;&gt;"",'게임기록'!$O$18+'게임기록'!$P$18+'게임기록'!$Q$18&gt;0),'게임기록'!$B$1,"")</f>
      </c>
      <c r="B55">
        <f>IF($A55="","",3)</f>
      </c>
      <c r="C55">
        <f>IF($A55="","",'게임기록'!$N$18)</f>
      </c>
      <c r="D55">
        <f>IF($A55="","",'게임기록'!$O$18)</f>
      </c>
      <c r="E55">
        <f>IF($A55="","",'게임기록'!$P$18)</f>
      </c>
      <c r="F55">
        <f>IF($A55="","",'게임기록'!$Q$18)</f>
      </c>
      <c r="G55">
        <f>IF($A55="","",'게임기록'!$O$18+'게임기록'!$P$18+'게임기록'!$Q$18)</f>
      </c>
    </row>
    <row r="56" spans="1:7" x14ac:dyDescent="0.25">
      <c r="A56">
        <f>IF(AND('게임기록'!$N$19&lt;&gt;"",'게임기록'!$O$19+'게임기록'!$P$19+'게임기록'!$Q$19&gt;0),'게임기록'!$B$1,"")</f>
      </c>
      <c r="B56">
        <f>IF($A56="","",3)</f>
      </c>
      <c r="C56">
        <f>IF($A56="","",'게임기록'!$N$19)</f>
      </c>
      <c r="D56">
        <f>IF($A56="","",'게임기록'!$O$19)</f>
      </c>
      <c r="E56">
        <f>IF($A56="","",'게임기록'!$P$19)</f>
      </c>
      <c r="F56">
        <f>IF($A56="","",'게임기록'!$Q$19)</f>
      </c>
      <c r="G56">
        <f>IF($A56="","",'게임기록'!$O$19+'게임기록'!$P$19+'게임기록'!$Q$19)</f>
      </c>
    </row>
    <row r="57" spans="1:7" x14ac:dyDescent="0.25">
      <c r="A57">
        <f>IF(AND('게임기록'!$N$20&lt;&gt;"",'게임기록'!$O$20+'게임기록'!$P$20+'게임기록'!$Q$20&gt;0),'게임기록'!$B$1,"")</f>
      </c>
      <c r="B57">
        <f>IF($A57="","",3)</f>
      </c>
      <c r="C57">
        <f>IF($A57="","",'게임기록'!$N$20)</f>
      </c>
      <c r="D57">
        <f>IF($A57="","",'게임기록'!$O$20)</f>
      </c>
      <c r="E57">
        <f>IF($A57="","",'게임기록'!$P$20)</f>
      </c>
      <c r="F57">
        <f>IF($A57="","",'게임기록'!$Q$20)</f>
      </c>
      <c r="G57">
        <f>IF($A57="","",'게임기록'!$O$20+'게임기록'!$P$20+'게임기록'!$Q$20)</f>
      </c>
    </row>
    <row r="58" spans="1:7" x14ac:dyDescent="0.25">
      <c r="A58">
        <f>IF(AND('게임기록'!$N$21&lt;&gt;"",'게임기록'!$O$21+'게임기록'!$P$21+'게임기록'!$Q$21&gt;0),'게임기록'!$B$1,"")</f>
      </c>
      <c r="B58">
        <f>IF($A58="","",3)</f>
      </c>
      <c r="C58">
        <f>IF($A58="","",'게임기록'!$N$21)</f>
      </c>
      <c r="D58">
        <f>IF($A58="","",'게임기록'!$O$21)</f>
      </c>
      <c r="E58">
        <f>IF($A58="","",'게임기록'!$P$21)</f>
      </c>
      <c r="F58">
        <f>IF($A58="","",'게임기록'!$Q$21)</f>
      </c>
      <c r="G58">
        <f>IF($A58="","",'게임기록'!$O$21+'게임기록'!$P$21+'게임기록'!$Q$21)</f>
      </c>
    </row>
    <row r="59" spans="1:7" x14ac:dyDescent="0.25">
      <c r="A59">
        <f>IF(AND('게임기록'!$N$22&lt;&gt;"",'게임기록'!$O$22+'게임기록'!$P$22+'게임기록'!$Q$22&gt;0),'게임기록'!$B$1,"")</f>
      </c>
      <c r="B59">
        <f>IF($A59="","",3)</f>
      </c>
      <c r="C59">
        <f>IF($A59="","",'게임기록'!$N$22)</f>
      </c>
      <c r="D59">
        <f>IF($A59="","",'게임기록'!$O$22)</f>
      </c>
      <c r="E59">
        <f>IF($A59="","",'게임기록'!$P$22)</f>
      </c>
      <c r="F59">
        <f>IF($A59="","",'게임기록'!$Q$22)</f>
      </c>
      <c r="G59">
        <f>IF($A59="","",'게임기록'!$O$22+'게임기록'!$P$22+'게임기록'!$Q$22)</f>
      </c>
    </row>
    <row r="60" spans="1:7" x14ac:dyDescent="0.25">
      <c r="A60">
        <f>IF(AND('게임기록'!$N$23&lt;&gt;"",'게임기록'!$O$23+'게임기록'!$P$23+'게임기록'!$Q$23&gt;0),'게임기록'!$B$1,"")</f>
      </c>
      <c r="B60">
        <f>IF($A60="","",3)</f>
      </c>
      <c r="C60">
        <f>IF($A60="","",'게임기록'!$N$23)</f>
      </c>
      <c r="D60">
        <f>IF($A60="","",'게임기록'!$O$23)</f>
      </c>
      <c r="E60">
        <f>IF($A60="","",'게임기록'!$P$23)</f>
      </c>
      <c r="F60">
        <f>IF($A60="","",'게임기록'!$Q$23)</f>
      </c>
      <c r="G60">
        <f>IF($A60="","",'게임기록'!$O$23+'게임기록'!$P$23+'게임기록'!$Q$23)</f>
      </c>
    </row>
    <row r="61" spans="1:7" x14ac:dyDescent="0.25">
      <c r="A61">
        <f>IF(AND('게임기록'!$N$24&lt;&gt;"",'게임기록'!$O$24+'게임기록'!$P$24+'게임기록'!$Q$24&gt;0),'게임기록'!$B$1,"")</f>
      </c>
      <c r="B61">
        <f>IF($A61="","",3)</f>
      </c>
      <c r="C61">
        <f>IF($A61="","",'게임기록'!$N$24)</f>
      </c>
      <c r="D61">
        <f>IF($A61="","",'게임기록'!$O$24)</f>
      </c>
      <c r="E61">
        <f>IF($A61="","",'게임기록'!$P$24)</f>
      </c>
      <c r="F61">
        <f>IF($A61="","",'게임기록'!$Q$24)</f>
      </c>
      <c r="G61">
        <f>IF($A61="","",'게임기록'!$O$24+'게임기록'!$P$24+'게임기록'!$Q$24)</f>
      </c>
    </row>
    <row r="62" spans="1:7" x14ac:dyDescent="0.25">
      <c r="A62">
        <f>IF(AND('게임기록'!$B$28&lt;&gt;"",'게임기록'!$C$28+'게임기록'!$D$28+'게임기록'!$E$28&gt;0),'게임기록'!$B$1,"")</f>
      </c>
      <c r="B62">
        <f>IF($A62="","",4)</f>
      </c>
      <c r="C62">
        <f>IF($A62="","",'게임기록'!$B$28)</f>
      </c>
      <c r="D62">
        <f>IF($A62="","",'게임기록'!$C$28)</f>
      </c>
      <c r="E62">
        <f>IF($A62="","",'게임기록'!$D$28)</f>
      </c>
      <c r="F62">
        <f>IF($A62="","",'게임기록'!$E$28)</f>
      </c>
      <c r="G62">
        <f>IF($A62="","",'게임기록'!$C$28+'게임기록'!$D$28+'게임기록'!$E$28)</f>
      </c>
    </row>
    <row r="63" spans="1:7" x14ac:dyDescent="0.25">
      <c r="A63">
        <f>IF(AND('게임기록'!$B$29&lt;&gt;"",'게임기록'!$C$29+'게임기록'!$D$29+'게임기록'!$E$29&gt;0),'게임기록'!$B$1,"")</f>
      </c>
      <c r="B63">
        <f>IF($A63="","",4)</f>
      </c>
      <c r="C63">
        <f>IF($A63="","",'게임기록'!$B$29)</f>
      </c>
      <c r="D63">
        <f>IF($A63="","",'게임기록'!$C$29)</f>
      </c>
      <c r="E63">
        <f>IF($A63="","",'게임기록'!$D$29)</f>
      </c>
      <c r="F63">
        <f>IF($A63="","",'게임기록'!$E$29)</f>
      </c>
      <c r="G63">
        <f>IF($A63="","",'게임기록'!$C$29+'게임기록'!$D$29+'게임기록'!$E$29)</f>
      </c>
    </row>
    <row r="64" spans="1:7" x14ac:dyDescent="0.25">
      <c r="A64">
        <f>IF(AND('게임기록'!$B$30&lt;&gt;"",'게임기록'!$C$30+'게임기록'!$D$30+'게임기록'!$E$30&gt;0),'게임기록'!$B$1,"")</f>
      </c>
      <c r="B64">
        <f>IF($A64="","",4)</f>
      </c>
      <c r="C64">
        <f>IF($A64="","",'게임기록'!$B$30)</f>
      </c>
      <c r="D64">
        <f>IF($A64="","",'게임기록'!$C$30)</f>
      </c>
      <c r="E64">
        <f>IF($A64="","",'게임기록'!$D$30)</f>
      </c>
      <c r="F64">
        <f>IF($A64="","",'게임기록'!$E$30)</f>
      </c>
      <c r="G64">
        <f>IF($A64="","",'게임기록'!$C$30+'게임기록'!$D$30+'게임기록'!$E$30)</f>
      </c>
    </row>
    <row r="65" spans="1:7" x14ac:dyDescent="0.25">
      <c r="A65">
        <f>IF(AND('게임기록'!$B$31&lt;&gt;"",'게임기록'!$C$31+'게임기록'!$D$31+'게임기록'!$E$31&gt;0),'게임기록'!$B$1,"")</f>
      </c>
      <c r="B65">
        <f>IF($A65="","",4)</f>
      </c>
      <c r="C65">
        <f>IF($A65="","",'게임기록'!$B$31)</f>
      </c>
      <c r="D65">
        <f>IF($A65="","",'게임기록'!$C$31)</f>
      </c>
      <c r="E65">
        <f>IF($A65="","",'게임기록'!$D$31)</f>
      </c>
      <c r="F65">
        <f>IF($A65="","",'게임기록'!$E$31)</f>
      </c>
      <c r="G65">
        <f>IF($A65="","",'게임기록'!$C$31+'게임기록'!$D$31+'게임기록'!$E$31)</f>
      </c>
    </row>
    <row r="66" spans="1:7" x14ac:dyDescent="0.25">
      <c r="A66">
        <f>IF(AND('게임기록'!$B$32&lt;&gt;"",'게임기록'!$C$32+'게임기록'!$D$32+'게임기록'!$E$32&gt;0),'게임기록'!$B$1,"")</f>
      </c>
      <c r="B66">
        <f>IF($A66="","",4)</f>
      </c>
      <c r="C66">
        <f>IF($A66="","",'게임기록'!$B$32)</f>
      </c>
      <c r="D66">
        <f>IF($A66="","",'게임기록'!$C$32)</f>
      </c>
      <c r="E66">
        <f>IF($A66="","",'게임기록'!$D$32)</f>
      </c>
      <c r="F66">
        <f>IF($A66="","",'게임기록'!$E$32)</f>
      </c>
      <c r="G66">
        <f>IF($A66="","",'게임기록'!$C$32+'게임기록'!$D$32+'게임기록'!$E$32)</f>
      </c>
    </row>
    <row r="67" spans="1:7" x14ac:dyDescent="0.25">
      <c r="A67">
        <f>IF(AND('게임기록'!$B$33&lt;&gt;"",'게임기록'!$C$33+'게임기록'!$D$33+'게임기록'!$E$33&gt;0),'게임기록'!$B$1,"")</f>
      </c>
      <c r="B67">
        <f>IF($A67="","",4)</f>
      </c>
      <c r="C67">
        <f>IF($A67="","",'게임기록'!$B$33)</f>
      </c>
      <c r="D67">
        <f>IF($A67="","",'게임기록'!$C$33)</f>
      </c>
      <c r="E67">
        <f>IF($A67="","",'게임기록'!$D$33)</f>
      </c>
      <c r="F67">
        <f>IF($A67="","",'게임기록'!$E$33)</f>
      </c>
      <c r="G67">
        <f>IF($A67="","",'게임기록'!$C$33+'게임기록'!$D$33+'게임기록'!$E$33)</f>
      </c>
    </row>
    <row r="68" spans="1:7" x14ac:dyDescent="0.25">
      <c r="A68">
        <f>IF(AND('게임기록'!$B$34&lt;&gt;"",'게임기록'!$C$34+'게임기록'!$D$34+'게임기록'!$E$34&gt;0),'게임기록'!$B$1,"")</f>
      </c>
      <c r="B68">
        <f>IF($A68="","",4)</f>
      </c>
      <c r="C68">
        <f>IF($A68="","",'게임기록'!$B$34)</f>
      </c>
      <c r="D68">
        <f>IF($A68="","",'게임기록'!$C$34)</f>
      </c>
      <c r="E68">
        <f>IF($A68="","",'게임기록'!$D$34)</f>
      </c>
      <c r="F68">
        <f>IF($A68="","",'게임기록'!$E$34)</f>
      </c>
      <c r="G68">
        <f>IF($A68="","",'게임기록'!$C$34+'게임기록'!$D$34+'게임기록'!$E$34)</f>
      </c>
    </row>
    <row r="69" spans="1:7" x14ac:dyDescent="0.25">
      <c r="A69">
        <f>IF(AND('게임기록'!$B$35&lt;&gt;"",'게임기록'!$C$35+'게임기록'!$D$35+'게임기록'!$E$35&gt;0),'게임기록'!$B$1,"")</f>
      </c>
      <c r="B69">
        <f>IF($A69="","",4)</f>
      </c>
      <c r="C69">
        <f>IF($A69="","",'게임기록'!$B$35)</f>
      </c>
      <c r="D69">
        <f>IF($A69="","",'게임기록'!$C$35)</f>
      </c>
      <c r="E69">
        <f>IF($A69="","",'게임기록'!$D$35)</f>
      </c>
      <c r="F69">
        <f>IF($A69="","",'게임기록'!$E$35)</f>
      </c>
      <c r="G69">
        <f>IF($A69="","",'게임기록'!$C$35+'게임기록'!$D$35+'게임기록'!$E$35)</f>
      </c>
    </row>
    <row r="70" spans="1:7" x14ac:dyDescent="0.25">
      <c r="A70">
        <f>IF(AND('게임기록'!$B$36&lt;&gt;"",'게임기록'!$C$36+'게임기록'!$D$36+'게임기록'!$E$36&gt;0),'게임기록'!$B$1,"")</f>
      </c>
      <c r="B70">
        <f>IF($A70="","",4)</f>
      </c>
      <c r="C70">
        <f>IF($A70="","",'게임기록'!$B$36)</f>
      </c>
      <c r="D70">
        <f>IF($A70="","",'게임기록'!$C$36)</f>
      </c>
      <c r="E70">
        <f>IF($A70="","",'게임기록'!$D$36)</f>
      </c>
      <c r="F70">
        <f>IF($A70="","",'게임기록'!$E$36)</f>
      </c>
      <c r="G70">
        <f>IF($A70="","",'게임기록'!$C$36+'게임기록'!$D$36+'게임기록'!$E$36)</f>
      </c>
    </row>
    <row r="71" spans="1:7" x14ac:dyDescent="0.25">
      <c r="A71">
        <f>IF(AND('게임기록'!$B$37&lt;&gt;"",'게임기록'!$C$37+'게임기록'!$D$37+'게임기록'!$E$37&gt;0),'게임기록'!$B$1,"")</f>
      </c>
      <c r="B71">
        <f>IF($A71="","",4)</f>
      </c>
      <c r="C71">
        <f>IF($A71="","",'게임기록'!$B$37)</f>
      </c>
      <c r="D71">
        <f>IF($A71="","",'게임기록'!$C$37)</f>
      </c>
      <c r="E71">
        <f>IF($A71="","",'게임기록'!$D$37)</f>
      </c>
      <c r="F71">
        <f>IF($A71="","",'게임기록'!$E$37)</f>
      </c>
      <c r="G71">
        <f>IF($A71="","",'게임기록'!$C$37+'게임기록'!$D$37+'게임기록'!$E$37)</f>
      </c>
    </row>
    <row r="72" spans="1:7" x14ac:dyDescent="0.25">
      <c r="A72">
        <f>IF(AND('게임기록'!$B$38&lt;&gt;"",'게임기록'!$C$38+'게임기록'!$D$38+'게임기록'!$E$38&gt;0),'게임기록'!$B$1,"")</f>
      </c>
      <c r="B72">
        <f>IF($A72="","",4)</f>
      </c>
      <c r="C72">
        <f>IF($A72="","",'게임기록'!$B$38)</f>
      </c>
      <c r="D72">
        <f>IF($A72="","",'게임기록'!$C$38)</f>
      </c>
      <c r="E72">
        <f>IF($A72="","",'게임기록'!$D$38)</f>
      </c>
      <c r="F72">
        <f>IF($A72="","",'게임기록'!$E$38)</f>
      </c>
      <c r="G72">
        <f>IF($A72="","",'게임기록'!$C$38+'게임기록'!$D$38+'게임기록'!$E$38)</f>
      </c>
    </row>
    <row r="73" spans="1:7" x14ac:dyDescent="0.25">
      <c r="A73">
        <f>IF(AND('게임기록'!$B$39&lt;&gt;"",'게임기록'!$C$39+'게임기록'!$D$39+'게임기록'!$E$39&gt;0),'게임기록'!$B$1,"")</f>
      </c>
      <c r="B73">
        <f>IF($A73="","",4)</f>
      </c>
      <c r="C73">
        <f>IF($A73="","",'게임기록'!$B$39)</f>
      </c>
      <c r="D73">
        <f>IF($A73="","",'게임기록'!$C$39)</f>
      </c>
      <c r="E73">
        <f>IF($A73="","",'게임기록'!$D$39)</f>
      </c>
      <c r="F73">
        <f>IF($A73="","",'게임기록'!$E$39)</f>
      </c>
      <c r="G73">
        <f>IF($A73="","",'게임기록'!$C$39+'게임기록'!$D$39+'게임기록'!$E$39)</f>
      </c>
    </row>
    <row r="74" spans="1:7" x14ac:dyDescent="0.25">
      <c r="A74">
        <f>IF(AND('게임기록'!$B$40&lt;&gt;"",'게임기록'!$C$40+'게임기록'!$D$40+'게임기록'!$E$40&gt;0),'게임기록'!$B$1,"")</f>
      </c>
      <c r="B74">
        <f>IF($A74="","",4)</f>
      </c>
      <c r="C74">
        <f>IF($A74="","",'게임기록'!$B$40)</f>
      </c>
      <c r="D74">
        <f>IF($A74="","",'게임기록'!$C$40)</f>
      </c>
      <c r="E74">
        <f>IF($A74="","",'게임기록'!$D$40)</f>
      </c>
      <c r="F74">
        <f>IF($A74="","",'게임기록'!$E$40)</f>
      </c>
      <c r="G74">
        <f>IF($A74="","",'게임기록'!$C$40+'게임기록'!$D$40+'게임기록'!$E$40)</f>
      </c>
    </row>
    <row r="75" spans="1:7" x14ac:dyDescent="0.25">
      <c r="A75">
        <f>IF(AND('게임기록'!$B$41&lt;&gt;"",'게임기록'!$C$41+'게임기록'!$D$41+'게임기록'!$E$41&gt;0),'게임기록'!$B$1,"")</f>
      </c>
      <c r="B75">
        <f>IF($A75="","",4)</f>
      </c>
      <c r="C75">
        <f>IF($A75="","",'게임기록'!$B$41)</f>
      </c>
      <c r="D75">
        <f>IF($A75="","",'게임기록'!$C$41)</f>
      </c>
      <c r="E75">
        <f>IF($A75="","",'게임기록'!$D$41)</f>
      </c>
      <c r="F75">
        <f>IF($A75="","",'게임기록'!$E$41)</f>
      </c>
      <c r="G75">
        <f>IF($A75="","",'게임기록'!$C$41+'게임기록'!$D$41+'게임기록'!$E$41)</f>
      </c>
    </row>
    <row r="76" spans="1:7" x14ac:dyDescent="0.25">
      <c r="A76">
        <f>IF(AND('게임기록'!$B$42&lt;&gt;"",'게임기록'!$C$42+'게임기록'!$D$42+'게임기록'!$E$42&gt;0),'게임기록'!$B$1,"")</f>
      </c>
      <c r="B76">
        <f>IF($A76="","",4)</f>
      </c>
      <c r="C76">
        <f>IF($A76="","",'게임기록'!$B$42)</f>
      </c>
      <c r="D76">
        <f>IF($A76="","",'게임기록'!$C$42)</f>
      </c>
      <c r="E76">
        <f>IF($A76="","",'게임기록'!$D$42)</f>
      </c>
      <c r="F76">
        <f>IF($A76="","",'게임기록'!$E$42)</f>
      </c>
      <c r="G76">
        <f>IF($A76="","",'게임기록'!$C$42+'게임기록'!$D$42+'게임기록'!$E$42)</f>
      </c>
    </row>
    <row r="77" spans="1:7" x14ac:dyDescent="0.25">
      <c r="A77">
        <f>IF(AND('게임기록'!$B$43&lt;&gt;"",'게임기록'!$C$43+'게임기록'!$D$43+'게임기록'!$E$43&gt;0),'게임기록'!$B$1,"")</f>
      </c>
      <c r="B77">
        <f>IF($A77="","",4)</f>
      </c>
      <c r="C77">
        <f>IF($A77="","",'게임기록'!$B$43)</f>
      </c>
      <c r="D77">
        <f>IF($A77="","",'게임기록'!$C$43)</f>
      </c>
      <c r="E77">
        <f>IF($A77="","",'게임기록'!$D$43)</f>
      </c>
      <c r="F77">
        <f>IF($A77="","",'게임기록'!$E$43)</f>
      </c>
      <c r="G77">
        <f>IF($A77="","",'게임기록'!$C$43+'게임기록'!$D$43+'게임기록'!$E$43)</f>
      </c>
    </row>
    <row r="78" spans="1:7" x14ac:dyDescent="0.25">
      <c r="A78">
        <f>IF(AND('게임기록'!$B$44&lt;&gt;"",'게임기록'!$C$44+'게임기록'!$D$44+'게임기록'!$E$44&gt;0),'게임기록'!$B$1,"")</f>
      </c>
      <c r="B78">
        <f>IF($A78="","",4)</f>
      </c>
      <c r="C78">
        <f>IF($A78="","",'게임기록'!$B$44)</f>
      </c>
      <c r="D78">
        <f>IF($A78="","",'게임기록'!$C$44)</f>
      </c>
      <c r="E78">
        <f>IF($A78="","",'게임기록'!$D$44)</f>
      </c>
      <c r="F78">
        <f>IF($A78="","",'게임기록'!$E$44)</f>
      </c>
      <c r="G78">
        <f>IF($A78="","",'게임기록'!$C$44+'게임기록'!$D$44+'게임기록'!$E$44)</f>
      </c>
    </row>
    <row r="79" spans="1:7" x14ac:dyDescent="0.25">
      <c r="A79">
        <f>IF(AND('게임기록'!$B$45&lt;&gt;"",'게임기록'!$C$45+'게임기록'!$D$45+'게임기록'!$E$45&gt;0),'게임기록'!$B$1,"")</f>
      </c>
      <c r="B79">
        <f>IF($A79="","",4)</f>
      </c>
      <c r="C79">
        <f>IF($A79="","",'게임기록'!$B$45)</f>
      </c>
      <c r="D79">
        <f>IF($A79="","",'게임기록'!$C$45)</f>
      </c>
      <c r="E79">
        <f>IF($A79="","",'게임기록'!$D$45)</f>
      </c>
      <c r="F79">
        <f>IF($A79="","",'게임기록'!$E$45)</f>
      </c>
      <c r="G79">
        <f>IF($A79="","",'게임기록'!$C$45+'게임기록'!$D$45+'게임기록'!$E$45)</f>
      </c>
    </row>
    <row r="80" spans="1:7" x14ac:dyDescent="0.25">
      <c r="A80">
        <f>IF(AND('게임기록'!$B$46&lt;&gt;"",'게임기록'!$C$46+'게임기록'!$D$46+'게임기록'!$E$46&gt;0),'게임기록'!$B$1,"")</f>
      </c>
      <c r="B80">
        <f>IF($A80="","",4)</f>
      </c>
      <c r="C80">
        <f>IF($A80="","",'게임기록'!$B$46)</f>
      </c>
      <c r="D80">
        <f>IF($A80="","",'게임기록'!$C$46)</f>
      </c>
      <c r="E80">
        <f>IF($A80="","",'게임기록'!$D$46)</f>
      </c>
      <c r="F80">
        <f>IF($A80="","",'게임기록'!$E$46)</f>
      </c>
      <c r="G80">
        <f>IF($A80="","",'게임기록'!$C$46+'게임기록'!$D$46+'게임기록'!$E$46)</f>
      </c>
    </row>
    <row r="81" spans="1:7" x14ac:dyDescent="0.25">
      <c r="A81">
        <f>IF(AND('게임기록'!$B$47&lt;&gt;"",'게임기록'!$C$47+'게임기록'!$D$47+'게임기록'!$E$47&gt;0),'게임기록'!$B$1,"")</f>
      </c>
      <c r="B81">
        <f>IF($A81="","",4)</f>
      </c>
      <c r="C81">
        <f>IF($A81="","",'게임기록'!$B$47)</f>
      </c>
      <c r="D81">
        <f>IF($A81="","",'게임기록'!$C$47)</f>
      </c>
      <c r="E81">
        <f>IF($A81="","",'게임기록'!$D$47)</f>
      </c>
      <c r="F81">
        <f>IF($A81="","",'게임기록'!$E$47)</f>
      </c>
      <c r="G81">
        <f>IF($A81="","",'게임기록'!$C$47+'게임기록'!$D$47+'게임기록'!$E$47)</f>
      </c>
    </row>
    <row r="82" spans="1:7" x14ac:dyDescent="0.25">
      <c r="A82">
        <f>IF(AND('게임기록'!$H$28&lt;&gt;"",'게임기록'!$I$28+'게임기록'!$J$28+'게임기록'!$K$28&gt;0),'게임기록'!$B$1,"")</f>
      </c>
      <c r="B82">
        <f>IF($A82="","",5)</f>
      </c>
      <c r="C82">
        <f>IF($A82="","",'게임기록'!$H$28)</f>
      </c>
      <c r="D82">
        <f>IF($A82="","",'게임기록'!$I$28)</f>
      </c>
      <c r="E82">
        <f>IF($A82="","",'게임기록'!$J$28)</f>
      </c>
      <c r="F82">
        <f>IF($A82="","",'게임기록'!$K$28)</f>
      </c>
      <c r="G82">
        <f>IF($A82="","",'게임기록'!$I$28+'게임기록'!$J$28+'게임기록'!$K$28)</f>
      </c>
    </row>
    <row r="83" spans="1:7" x14ac:dyDescent="0.25">
      <c r="A83">
        <f>IF(AND('게임기록'!$H$29&lt;&gt;"",'게임기록'!$I$29+'게임기록'!$J$29+'게임기록'!$K$29&gt;0),'게임기록'!$B$1,"")</f>
      </c>
      <c r="B83">
        <f>IF($A83="","",5)</f>
      </c>
      <c r="C83">
        <f>IF($A83="","",'게임기록'!$H$29)</f>
      </c>
      <c r="D83">
        <f>IF($A83="","",'게임기록'!$I$29)</f>
      </c>
      <c r="E83">
        <f>IF($A83="","",'게임기록'!$J$29)</f>
      </c>
      <c r="F83">
        <f>IF($A83="","",'게임기록'!$K$29)</f>
      </c>
      <c r="G83">
        <f>IF($A83="","",'게임기록'!$I$29+'게임기록'!$J$29+'게임기록'!$K$29)</f>
      </c>
    </row>
    <row r="84" spans="1:7" x14ac:dyDescent="0.25">
      <c r="A84">
        <f>IF(AND('게임기록'!$H$30&lt;&gt;"",'게임기록'!$I$30+'게임기록'!$J$30+'게임기록'!$K$30&gt;0),'게임기록'!$B$1,"")</f>
      </c>
      <c r="B84">
        <f>IF($A84="","",5)</f>
      </c>
      <c r="C84">
        <f>IF($A84="","",'게임기록'!$H$30)</f>
      </c>
      <c r="D84">
        <f>IF($A84="","",'게임기록'!$I$30)</f>
      </c>
      <c r="E84">
        <f>IF($A84="","",'게임기록'!$J$30)</f>
      </c>
      <c r="F84">
        <f>IF($A84="","",'게임기록'!$K$30)</f>
      </c>
      <c r="G84">
        <f>IF($A84="","",'게임기록'!$I$30+'게임기록'!$J$30+'게임기록'!$K$30)</f>
      </c>
    </row>
    <row r="85" spans="1:7" x14ac:dyDescent="0.25">
      <c r="A85">
        <f>IF(AND('게임기록'!$H$31&lt;&gt;"",'게임기록'!$I$31+'게임기록'!$J$31+'게임기록'!$K$31&gt;0),'게임기록'!$B$1,"")</f>
      </c>
      <c r="B85">
        <f>IF($A85="","",5)</f>
      </c>
      <c r="C85">
        <f>IF($A85="","",'게임기록'!$H$31)</f>
      </c>
      <c r="D85">
        <f>IF($A85="","",'게임기록'!$I$31)</f>
      </c>
      <c r="E85">
        <f>IF($A85="","",'게임기록'!$J$31)</f>
      </c>
      <c r="F85">
        <f>IF($A85="","",'게임기록'!$K$31)</f>
      </c>
      <c r="G85">
        <f>IF($A85="","",'게임기록'!$I$31+'게임기록'!$J$31+'게임기록'!$K$31)</f>
      </c>
    </row>
    <row r="86" spans="1:7" x14ac:dyDescent="0.25">
      <c r="A86">
        <f>IF(AND('게임기록'!$H$32&lt;&gt;"",'게임기록'!$I$32+'게임기록'!$J$32+'게임기록'!$K$32&gt;0),'게임기록'!$B$1,"")</f>
      </c>
      <c r="B86">
        <f>IF($A86="","",5)</f>
      </c>
      <c r="C86">
        <f>IF($A86="","",'게임기록'!$H$32)</f>
      </c>
      <c r="D86">
        <f>IF($A86="","",'게임기록'!$I$32)</f>
      </c>
      <c r="E86">
        <f>IF($A86="","",'게임기록'!$J$32)</f>
      </c>
      <c r="F86">
        <f>IF($A86="","",'게임기록'!$K$32)</f>
      </c>
      <c r="G86">
        <f>IF($A86="","",'게임기록'!$I$32+'게임기록'!$J$32+'게임기록'!$K$32)</f>
      </c>
    </row>
    <row r="87" spans="1:7" x14ac:dyDescent="0.25">
      <c r="A87">
        <f>IF(AND('게임기록'!$H$33&lt;&gt;"",'게임기록'!$I$33+'게임기록'!$J$33+'게임기록'!$K$33&gt;0),'게임기록'!$B$1,"")</f>
      </c>
      <c r="B87">
        <f>IF($A87="","",5)</f>
      </c>
      <c r="C87">
        <f>IF($A87="","",'게임기록'!$H$33)</f>
      </c>
      <c r="D87">
        <f>IF($A87="","",'게임기록'!$I$33)</f>
      </c>
      <c r="E87">
        <f>IF($A87="","",'게임기록'!$J$33)</f>
      </c>
      <c r="F87">
        <f>IF($A87="","",'게임기록'!$K$33)</f>
      </c>
      <c r="G87">
        <f>IF($A87="","",'게임기록'!$I$33+'게임기록'!$J$33+'게임기록'!$K$33)</f>
      </c>
    </row>
    <row r="88" spans="1:7" x14ac:dyDescent="0.25">
      <c r="A88">
        <f>IF(AND('게임기록'!$H$34&lt;&gt;"",'게임기록'!$I$34+'게임기록'!$J$34+'게임기록'!$K$34&gt;0),'게임기록'!$B$1,"")</f>
      </c>
      <c r="B88">
        <f>IF($A88="","",5)</f>
      </c>
      <c r="C88">
        <f>IF($A88="","",'게임기록'!$H$34)</f>
      </c>
      <c r="D88">
        <f>IF($A88="","",'게임기록'!$I$34)</f>
      </c>
      <c r="E88">
        <f>IF($A88="","",'게임기록'!$J$34)</f>
      </c>
      <c r="F88">
        <f>IF($A88="","",'게임기록'!$K$34)</f>
      </c>
      <c r="G88">
        <f>IF($A88="","",'게임기록'!$I$34+'게임기록'!$J$34+'게임기록'!$K$34)</f>
      </c>
    </row>
    <row r="89" spans="1:7" x14ac:dyDescent="0.25">
      <c r="A89">
        <f>IF(AND('게임기록'!$H$35&lt;&gt;"",'게임기록'!$I$35+'게임기록'!$J$35+'게임기록'!$K$35&gt;0),'게임기록'!$B$1,"")</f>
      </c>
      <c r="B89">
        <f>IF($A89="","",5)</f>
      </c>
      <c r="C89">
        <f>IF($A89="","",'게임기록'!$H$35)</f>
      </c>
      <c r="D89">
        <f>IF($A89="","",'게임기록'!$I$35)</f>
      </c>
      <c r="E89">
        <f>IF($A89="","",'게임기록'!$J$35)</f>
      </c>
      <c r="F89">
        <f>IF($A89="","",'게임기록'!$K$35)</f>
      </c>
      <c r="G89">
        <f>IF($A89="","",'게임기록'!$I$35+'게임기록'!$J$35+'게임기록'!$K$35)</f>
      </c>
    </row>
    <row r="90" spans="1:7" x14ac:dyDescent="0.25">
      <c r="A90">
        <f>IF(AND('게임기록'!$H$36&lt;&gt;"",'게임기록'!$I$36+'게임기록'!$J$36+'게임기록'!$K$36&gt;0),'게임기록'!$B$1,"")</f>
      </c>
      <c r="B90">
        <f>IF($A90="","",5)</f>
      </c>
      <c r="C90">
        <f>IF($A90="","",'게임기록'!$H$36)</f>
      </c>
      <c r="D90">
        <f>IF($A90="","",'게임기록'!$I$36)</f>
      </c>
      <c r="E90">
        <f>IF($A90="","",'게임기록'!$J$36)</f>
      </c>
      <c r="F90">
        <f>IF($A90="","",'게임기록'!$K$36)</f>
      </c>
      <c r="G90">
        <f>IF($A90="","",'게임기록'!$I$36+'게임기록'!$J$36+'게임기록'!$K$36)</f>
      </c>
    </row>
    <row r="91" spans="1:7" x14ac:dyDescent="0.25">
      <c r="A91">
        <f>IF(AND('게임기록'!$H$37&lt;&gt;"",'게임기록'!$I$37+'게임기록'!$J$37+'게임기록'!$K$37&gt;0),'게임기록'!$B$1,"")</f>
      </c>
      <c r="B91">
        <f>IF($A91="","",5)</f>
      </c>
      <c r="C91">
        <f>IF($A91="","",'게임기록'!$H$37)</f>
      </c>
      <c r="D91">
        <f>IF($A91="","",'게임기록'!$I$37)</f>
      </c>
      <c r="E91">
        <f>IF($A91="","",'게임기록'!$J$37)</f>
      </c>
      <c r="F91">
        <f>IF($A91="","",'게임기록'!$K$37)</f>
      </c>
      <c r="G91">
        <f>IF($A91="","",'게임기록'!$I$37+'게임기록'!$J$37+'게임기록'!$K$37)</f>
      </c>
    </row>
    <row r="92" spans="1:7" x14ac:dyDescent="0.25">
      <c r="A92">
        <f>IF(AND('게임기록'!$H$38&lt;&gt;"",'게임기록'!$I$38+'게임기록'!$J$38+'게임기록'!$K$38&gt;0),'게임기록'!$B$1,"")</f>
      </c>
      <c r="B92">
        <f>IF($A92="","",5)</f>
      </c>
      <c r="C92">
        <f>IF($A92="","",'게임기록'!$H$38)</f>
      </c>
      <c r="D92">
        <f>IF($A92="","",'게임기록'!$I$38)</f>
      </c>
      <c r="E92">
        <f>IF($A92="","",'게임기록'!$J$38)</f>
      </c>
      <c r="F92">
        <f>IF($A92="","",'게임기록'!$K$38)</f>
      </c>
      <c r="G92">
        <f>IF($A92="","",'게임기록'!$I$38+'게임기록'!$J$38+'게임기록'!$K$38)</f>
      </c>
    </row>
    <row r="93" spans="1:7" x14ac:dyDescent="0.25">
      <c r="A93">
        <f>IF(AND('게임기록'!$H$39&lt;&gt;"",'게임기록'!$I$39+'게임기록'!$J$39+'게임기록'!$K$39&gt;0),'게임기록'!$B$1,"")</f>
      </c>
      <c r="B93">
        <f>IF($A93="","",5)</f>
      </c>
      <c r="C93">
        <f>IF($A93="","",'게임기록'!$H$39)</f>
      </c>
      <c r="D93">
        <f>IF($A93="","",'게임기록'!$I$39)</f>
      </c>
      <c r="E93">
        <f>IF($A93="","",'게임기록'!$J$39)</f>
      </c>
      <c r="F93">
        <f>IF($A93="","",'게임기록'!$K$39)</f>
      </c>
      <c r="G93">
        <f>IF($A93="","",'게임기록'!$I$39+'게임기록'!$J$39+'게임기록'!$K$39)</f>
      </c>
    </row>
    <row r="94" spans="1:7" x14ac:dyDescent="0.25">
      <c r="A94">
        <f>IF(AND('게임기록'!$H$40&lt;&gt;"",'게임기록'!$I$40+'게임기록'!$J$40+'게임기록'!$K$40&gt;0),'게임기록'!$B$1,"")</f>
      </c>
      <c r="B94">
        <f>IF($A94="","",5)</f>
      </c>
      <c r="C94">
        <f>IF($A94="","",'게임기록'!$H$40)</f>
      </c>
      <c r="D94">
        <f>IF($A94="","",'게임기록'!$I$40)</f>
      </c>
      <c r="E94">
        <f>IF($A94="","",'게임기록'!$J$40)</f>
      </c>
      <c r="F94">
        <f>IF($A94="","",'게임기록'!$K$40)</f>
      </c>
      <c r="G94">
        <f>IF($A94="","",'게임기록'!$I$40+'게임기록'!$J$40+'게임기록'!$K$40)</f>
      </c>
    </row>
    <row r="95" spans="1:7" x14ac:dyDescent="0.25">
      <c r="A95">
        <f>IF(AND('게임기록'!$H$41&lt;&gt;"",'게임기록'!$I$41+'게임기록'!$J$41+'게임기록'!$K$41&gt;0),'게임기록'!$B$1,"")</f>
      </c>
      <c r="B95">
        <f>IF($A95="","",5)</f>
      </c>
      <c r="C95">
        <f>IF($A95="","",'게임기록'!$H$41)</f>
      </c>
      <c r="D95">
        <f>IF($A95="","",'게임기록'!$I$41)</f>
      </c>
      <c r="E95">
        <f>IF($A95="","",'게임기록'!$J$41)</f>
      </c>
      <c r="F95">
        <f>IF($A95="","",'게임기록'!$K$41)</f>
      </c>
      <c r="G95">
        <f>IF($A95="","",'게임기록'!$I$41+'게임기록'!$J$41+'게임기록'!$K$41)</f>
      </c>
    </row>
    <row r="96" spans="1:7" x14ac:dyDescent="0.25">
      <c r="A96">
        <f>IF(AND('게임기록'!$H$42&lt;&gt;"",'게임기록'!$I$42+'게임기록'!$J$42+'게임기록'!$K$42&gt;0),'게임기록'!$B$1,"")</f>
      </c>
      <c r="B96">
        <f>IF($A96="","",5)</f>
      </c>
      <c r="C96">
        <f>IF($A96="","",'게임기록'!$H$42)</f>
      </c>
      <c r="D96">
        <f>IF($A96="","",'게임기록'!$I$42)</f>
      </c>
      <c r="E96">
        <f>IF($A96="","",'게임기록'!$J$42)</f>
      </c>
      <c r="F96">
        <f>IF($A96="","",'게임기록'!$K$42)</f>
      </c>
      <c r="G96">
        <f>IF($A96="","",'게임기록'!$I$42+'게임기록'!$J$42+'게임기록'!$K$42)</f>
      </c>
    </row>
    <row r="97" spans="1:7" x14ac:dyDescent="0.25">
      <c r="A97">
        <f>IF(AND('게임기록'!$H$43&lt;&gt;"",'게임기록'!$I$43+'게임기록'!$J$43+'게임기록'!$K$43&gt;0),'게임기록'!$B$1,"")</f>
      </c>
      <c r="B97">
        <f>IF($A97="","",5)</f>
      </c>
      <c r="C97">
        <f>IF($A97="","",'게임기록'!$H$43)</f>
      </c>
      <c r="D97">
        <f>IF($A97="","",'게임기록'!$I$43)</f>
      </c>
      <c r="E97">
        <f>IF($A97="","",'게임기록'!$J$43)</f>
      </c>
      <c r="F97">
        <f>IF($A97="","",'게임기록'!$K$43)</f>
      </c>
      <c r="G97">
        <f>IF($A97="","",'게임기록'!$I$43+'게임기록'!$J$43+'게임기록'!$K$43)</f>
      </c>
    </row>
    <row r="98" spans="1:7" x14ac:dyDescent="0.25">
      <c r="A98">
        <f>IF(AND('게임기록'!$H$44&lt;&gt;"",'게임기록'!$I$44+'게임기록'!$J$44+'게임기록'!$K$44&gt;0),'게임기록'!$B$1,"")</f>
      </c>
      <c r="B98">
        <f>IF($A98="","",5)</f>
      </c>
      <c r="C98">
        <f>IF($A98="","",'게임기록'!$H$44)</f>
      </c>
      <c r="D98">
        <f>IF($A98="","",'게임기록'!$I$44)</f>
      </c>
      <c r="E98">
        <f>IF($A98="","",'게임기록'!$J$44)</f>
      </c>
      <c r="F98">
        <f>IF($A98="","",'게임기록'!$K$44)</f>
      </c>
      <c r="G98">
        <f>IF($A98="","",'게임기록'!$I$44+'게임기록'!$J$44+'게임기록'!$K$44)</f>
      </c>
    </row>
    <row r="99" spans="1:7" x14ac:dyDescent="0.25">
      <c r="A99">
        <f>IF(AND('게임기록'!$H$45&lt;&gt;"",'게임기록'!$I$45+'게임기록'!$J$45+'게임기록'!$K$45&gt;0),'게임기록'!$B$1,"")</f>
      </c>
      <c r="B99">
        <f>IF($A99="","",5)</f>
      </c>
      <c r="C99">
        <f>IF($A99="","",'게임기록'!$H$45)</f>
      </c>
      <c r="D99">
        <f>IF($A99="","",'게임기록'!$I$45)</f>
      </c>
      <c r="E99">
        <f>IF($A99="","",'게임기록'!$J$45)</f>
      </c>
      <c r="F99">
        <f>IF($A99="","",'게임기록'!$K$45)</f>
      </c>
      <c r="G99">
        <f>IF($A99="","",'게임기록'!$I$45+'게임기록'!$J$45+'게임기록'!$K$45)</f>
      </c>
    </row>
    <row r="100" spans="1:7" x14ac:dyDescent="0.25">
      <c r="A100">
        <f>IF(AND('게임기록'!$H$46&lt;&gt;"",'게임기록'!$I$46+'게임기록'!$J$46+'게임기록'!$K$46&gt;0),'게임기록'!$B$1,"")</f>
      </c>
      <c r="B100">
        <f>IF($A100="","",5)</f>
      </c>
      <c r="C100">
        <f>IF($A100="","",'게임기록'!$H$46)</f>
      </c>
      <c r="D100">
        <f>IF($A100="","",'게임기록'!$I$46)</f>
      </c>
      <c r="E100">
        <f>IF($A100="","",'게임기록'!$J$46)</f>
      </c>
      <c r="F100">
        <f>IF($A100="","",'게임기록'!$K$46)</f>
      </c>
      <c r="G100">
        <f>IF($A100="","",'게임기록'!$I$46+'게임기록'!$J$46+'게임기록'!$K$46)</f>
      </c>
    </row>
    <row r="101" spans="1:7" x14ac:dyDescent="0.25">
      <c r="A101">
        <f>IF(AND('게임기록'!$H$47&lt;&gt;"",'게임기록'!$I$47+'게임기록'!$J$47+'게임기록'!$K$47&gt;0),'게임기록'!$B$1,"")</f>
      </c>
      <c r="B101">
        <f>IF($A101="","",5)</f>
      </c>
      <c r="C101">
        <f>IF($A101="","",'게임기록'!$H$47)</f>
      </c>
      <c r="D101">
        <f>IF($A101="","",'게임기록'!$I$47)</f>
      </c>
      <c r="E101">
        <f>IF($A101="","",'게임기록'!$J$47)</f>
      </c>
      <c r="F101">
        <f>IF($A101="","",'게임기록'!$K$47)</f>
      </c>
      <c r="G101">
        <f>IF($A101="","",'게임기록'!$I$47+'게임기록'!$J$47+'게임기록'!$K$47)</f>
      </c>
    </row>
    <row r="102" spans="1:7" x14ac:dyDescent="0.25">
      <c r="A102">
        <f>IF(AND('게임기록'!$N$28&lt;&gt;"",'게임기록'!$O$28+'게임기록'!$P$28+'게임기록'!$Q$28&gt;0),'게임기록'!$B$1,"")</f>
      </c>
      <c r="B102">
        <f>IF($A102="","",6)</f>
      </c>
      <c r="C102">
        <f>IF($A102="","",'게임기록'!$N$28)</f>
      </c>
      <c r="D102">
        <f>IF($A102="","",'게임기록'!$O$28)</f>
      </c>
      <c r="E102">
        <f>IF($A102="","",'게임기록'!$P$28)</f>
      </c>
      <c r="F102">
        <f>IF($A102="","",'게임기록'!$Q$28)</f>
      </c>
      <c r="G102">
        <f>IF($A102="","",'게임기록'!$O$28+'게임기록'!$P$28+'게임기록'!$Q$28)</f>
      </c>
    </row>
    <row r="103" spans="1:7" x14ac:dyDescent="0.25">
      <c r="A103">
        <f>IF(AND('게임기록'!$N$29&lt;&gt;"",'게임기록'!$O$29+'게임기록'!$P$29+'게임기록'!$Q$29&gt;0),'게임기록'!$B$1,"")</f>
      </c>
      <c r="B103">
        <f>IF($A103="","",6)</f>
      </c>
      <c r="C103">
        <f>IF($A103="","",'게임기록'!$N$29)</f>
      </c>
      <c r="D103">
        <f>IF($A103="","",'게임기록'!$O$29)</f>
      </c>
      <c r="E103">
        <f>IF($A103="","",'게임기록'!$P$29)</f>
      </c>
      <c r="F103">
        <f>IF($A103="","",'게임기록'!$Q$29)</f>
      </c>
      <c r="G103">
        <f>IF($A103="","",'게임기록'!$O$29+'게임기록'!$P$29+'게임기록'!$Q$29)</f>
      </c>
    </row>
    <row r="104" spans="1:7" x14ac:dyDescent="0.25">
      <c r="A104">
        <f>IF(AND('게임기록'!$N$30&lt;&gt;"",'게임기록'!$O$30+'게임기록'!$P$30+'게임기록'!$Q$30&gt;0),'게임기록'!$B$1,"")</f>
      </c>
      <c r="B104">
        <f>IF($A104="","",6)</f>
      </c>
      <c r="C104">
        <f>IF($A104="","",'게임기록'!$N$30)</f>
      </c>
      <c r="D104">
        <f>IF($A104="","",'게임기록'!$O$30)</f>
      </c>
      <c r="E104">
        <f>IF($A104="","",'게임기록'!$P$30)</f>
      </c>
      <c r="F104">
        <f>IF($A104="","",'게임기록'!$Q$30)</f>
      </c>
      <c r="G104">
        <f>IF($A104="","",'게임기록'!$O$30+'게임기록'!$P$30+'게임기록'!$Q$30)</f>
      </c>
    </row>
    <row r="105" spans="1:7" x14ac:dyDescent="0.25">
      <c r="A105">
        <f>IF(AND('게임기록'!$N$31&lt;&gt;"",'게임기록'!$O$31+'게임기록'!$P$31+'게임기록'!$Q$31&gt;0),'게임기록'!$B$1,"")</f>
      </c>
      <c r="B105">
        <f>IF($A105="","",6)</f>
      </c>
      <c r="C105">
        <f>IF($A105="","",'게임기록'!$N$31)</f>
      </c>
      <c r="D105">
        <f>IF($A105="","",'게임기록'!$O$31)</f>
      </c>
      <c r="E105">
        <f>IF($A105="","",'게임기록'!$P$31)</f>
      </c>
      <c r="F105">
        <f>IF($A105="","",'게임기록'!$Q$31)</f>
      </c>
      <c r="G105">
        <f>IF($A105="","",'게임기록'!$O$31+'게임기록'!$P$31+'게임기록'!$Q$31)</f>
      </c>
    </row>
    <row r="106" spans="1:7" x14ac:dyDescent="0.25">
      <c r="A106">
        <f>IF(AND('게임기록'!$N$32&lt;&gt;"",'게임기록'!$O$32+'게임기록'!$P$32+'게임기록'!$Q$32&gt;0),'게임기록'!$B$1,"")</f>
      </c>
      <c r="B106">
        <f>IF($A106="","",6)</f>
      </c>
      <c r="C106">
        <f>IF($A106="","",'게임기록'!$N$32)</f>
      </c>
      <c r="D106">
        <f>IF($A106="","",'게임기록'!$O$32)</f>
      </c>
      <c r="E106">
        <f>IF($A106="","",'게임기록'!$P$32)</f>
      </c>
      <c r="F106">
        <f>IF($A106="","",'게임기록'!$Q$32)</f>
      </c>
      <c r="G106">
        <f>IF($A106="","",'게임기록'!$O$32+'게임기록'!$P$32+'게임기록'!$Q$32)</f>
      </c>
    </row>
    <row r="107" spans="1:7" x14ac:dyDescent="0.25">
      <c r="A107">
        <f>IF(AND('게임기록'!$N$33&lt;&gt;"",'게임기록'!$O$33+'게임기록'!$P$33+'게임기록'!$Q$33&gt;0),'게임기록'!$B$1,"")</f>
      </c>
      <c r="B107">
        <f>IF($A107="","",6)</f>
      </c>
      <c r="C107">
        <f>IF($A107="","",'게임기록'!$N$33)</f>
      </c>
      <c r="D107">
        <f>IF($A107="","",'게임기록'!$O$33)</f>
      </c>
      <c r="E107">
        <f>IF($A107="","",'게임기록'!$P$33)</f>
      </c>
      <c r="F107">
        <f>IF($A107="","",'게임기록'!$Q$33)</f>
      </c>
      <c r="G107">
        <f>IF($A107="","",'게임기록'!$O$33+'게임기록'!$P$33+'게임기록'!$Q$33)</f>
      </c>
    </row>
    <row r="108" spans="1:7" x14ac:dyDescent="0.25">
      <c r="A108">
        <f>IF(AND('게임기록'!$N$34&lt;&gt;"",'게임기록'!$O$34+'게임기록'!$P$34+'게임기록'!$Q$34&gt;0),'게임기록'!$B$1,"")</f>
      </c>
      <c r="B108">
        <f>IF($A108="","",6)</f>
      </c>
      <c r="C108">
        <f>IF($A108="","",'게임기록'!$N$34)</f>
      </c>
      <c r="D108">
        <f>IF($A108="","",'게임기록'!$O$34)</f>
      </c>
      <c r="E108">
        <f>IF($A108="","",'게임기록'!$P$34)</f>
      </c>
      <c r="F108">
        <f>IF($A108="","",'게임기록'!$Q$34)</f>
      </c>
      <c r="G108">
        <f>IF($A108="","",'게임기록'!$O$34+'게임기록'!$P$34+'게임기록'!$Q$34)</f>
      </c>
    </row>
    <row r="109" spans="1:7" x14ac:dyDescent="0.25">
      <c r="A109">
        <f>IF(AND('게임기록'!$N$35&lt;&gt;"",'게임기록'!$O$35+'게임기록'!$P$35+'게임기록'!$Q$35&gt;0),'게임기록'!$B$1,"")</f>
      </c>
      <c r="B109">
        <f>IF($A109="","",6)</f>
      </c>
      <c r="C109">
        <f>IF($A109="","",'게임기록'!$N$35)</f>
      </c>
      <c r="D109">
        <f>IF($A109="","",'게임기록'!$O$35)</f>
      </c>
      <c r="E109">
        <f>IF($A109="","",'게임기록'!$P$35)</f>
      </c>
      <c r="F109">
        <f>IF($A109="","",'게임기록'!$Q$35)</f>
      </c>
      <c r="G109">
        <f>IF($A109="","",'게임기록'!$O$35+'게임기록'!$P$35+'게임기록'!$Q$35)</f>
      </c>
    </row>
    <row r="110" spans="1:7" x14ac:dyDescent="0.25">
      <c r="A110">
        <f>IF(AND('게임기록'!$N$36&lt;&gt;"",'게임기록'!$O$36+'게임기록'!$P$36+'게임기록'!$Q$36&gt;0),'게임기록'!$B$1,"")</f>
      </c>
      <c r="B110">
        <f>IF($A110="","",6)</f>
      </c>
      <c r="C110">
        <f>IF($A110="","",'게임기록'!$N$36)</f>
      </c>
      <c r="D110">
        <f>IF($A110="","",'게임기록'!$O$36)</f>
      </c>
      <c r="E110">
        <f>IF($A110="","",'게임기록'!$P$36)</f>
      </c>
      <c r="F110">
        <f>IF($A110="","",'게임기록'!$Q$36)</f>
      </c>
      <c r="G110">
        <f>IF($A110="","",'게임기록'!$O$36+'게임기록'!$P$36+'게임기록'!$Q$36)</f>
      </c>
    </row>
    <row r="111" spans="1:7" x14ac:dyDescent="0.25">
      <c r="A111">
        <f>IF(AND('게임기록'!$N$37&lt;&gt;"",'게임기록'!$O$37+'게임기록'!$P$37+'게임기록'!$Q$37&gt;0),'게임기록'!$B$1,"")</f>
      </c>
      <c r="B111">
        <f>IF($A111="","",6)</f>
      </c>
      <c r="C111">
        <f>IF($A111="","",'게임기록'!$N$37)</f>
      </c>
      <c r="D111">
        <f>IF($A111="","",'게임기록'!$O$37)</f>
      </c>
      <c r="E111">
        <f>IF($A111="","",'게임기록'!$P$37)</f>
      </c>
      <c r="F111">
        <f>IF($A111="","",'게임기록'!$Q$37)</f>
      </c>
      <c r="G111">
        <f>IF($A111="","",'게임기록'!$O$37+'게임기록'!$P$37+'게임기록'!$Q$37)</f>
      </c>
    </row>
    <row r="112" spans="1:7" x14ac:dyDescent="0.25">
      <c r="A112">
        <f>IF(AND('게임기록'!$N$38&lt;&gt;"",'게임기록'!$O$38+'게임기록'!$P$38+'게임기록'!$Q$38&gt;0),'게임기록'!$B$1,"")</f>
      </c>
      <c r="B112">
        <f>IF($A112="","",6)</f>
      </c>
      <c r="C112">
        <f>IF($A112="","",'게임기록'!$N$38)</f>
      </c>
      <c r="D112">
        <f>IF($A112="","",'게임기록'!$O$38)</f>
      </c>
      <c r="E112">
        <f>IF($A112="","",'게임기록'!$P$38)</f>
      </c>
      <c r="F112">
        <f>IF($A112="","",'게임기록'!$Q$38)</f>
      </c>
      <c r="G112">
        <f>IF($A112="","",'게임기록'!$O$38+'게임기록'!$P$38+'게임기록'!$Q$38)</f>
      </c>
    </row>
    <row r="113" spans="1:7" x14ac:dyDescent="0.25">
      <c r="A113">
        <f>IF(AND('게임기록'!$N$39&lt;&gt;"",'게임기록'!$O$39+'게임기록'!$P$39+'게임기록'!$Q$39&gt;0),'게임기록'!$B$1,"")</f>
      </c>
      <c r="B113">
        <f>IF($A113="","",6)</f>
      </c>
      <c r="C113">
        <f>IF($A113="","",'게임기록'!$N$39)</f>
      </c>
      <c r="D113">
        <f>IF($A113="","",'게임기록'!$O$39)</f>
      </c>
      <c r="E113">
        <f>IF($A113="","",'게임기록'!$P$39)</f>
      </c>
      <c r="F113">
        <f>IF($A113="","",'게임기록'!$Q$39)</f>
      </c>
      <c r="G113">
        <f>IF($A113="","",'게임기록'!$O$39+'게임기록'!$P$39+'게임기록'!$Q$39)</f>
      </c>
    </row>
    <row r="114" spans="1:7" x14ac:dyDescent="0.25">
      <c r="A114">
        <f>IF(AND('게임기록'!$N$40&lt;&gt;"",'게임기록'!$O$40+'게임기록'!$P$40+'게임기록'!$Q$40&gt;0),'게임기록'!$B$1,"")</f>
      </c>
      <c r="B114">
        <f>IF($A114="","",6)</f>
      </c>
      <c r="C114">
        <f>IF($A114="","",'게임기록'!$N$40)</f>
      </c>
      <c r="D114">
        <f>IF($A114="","",'게임기록'!$O$40)</f>
      </c>
      <c r="E114">
        <f>IF($A114="","",'게임기록'!$P$40)</f>
      </c>
      <c r="F114">
        <f>IF($A114="","",'게임기록'!$Q$40)</f>
      </c>
      <c r="G114">
        <f>IF($A114="","",'게임기록'!$O$40+'게임기록'!$P$40+'게임기록'!$Q$40)</f>
      </c>
    </row>
    <row r="115" spans="1:7" x14ac:dyDescent="0.25">
      <c r="A115">
        <f>IF(AND('게임기록'!$N$41&lt;&gt;"",'게임기록'!$O$41+'게임기록'!$P$41+'게임기록'!$Q$41&gt;0),'게임기록'!$B$1,"")</f>
      </c>
      <c r="B115">
        <f>IF($A115="","",6)</f>
      </c>
      <c r="C115">
        <f>IF($A115="","",'게임기록'!$N$41)</f>
      </c>
      <c r="D115">
        <f>IF($A115="","",'게임기록'!$O$41)</f>
      </c>
      <c r="E115">
        <f>IF($A115="","",'게임기록'!$P$41)</f>
      </c>
      <c r="F115">
        <f>IF($A115="","",'게임기록'!$Q$41)</f>
      </c>
      <c r="G115">
        <f>IF($A115="","",'게임기록'!$O$41+'게임기록'!$P$41+'게임기록'!$Q$41)</f>
      </c>
    </row>
    <row r="116" spans="1:7" x14ac:dyDescent="0.25">
      <c r="A116">
        <f>IF(AND('게임기록'!$N$42&lt;&gt;"",'게임기록'!$O$42+'게임기록'!$P$42+'게임기록'!$Q$42&gt;0),'게임기록'!$B$1,"")</f>
      </c>
      <c r="B116">
        <f>IF($A116="","",6)</f>
      </c>
      <c r="C116">
        <f>IF($A116="","",'게임기록'!$N$42)</f>
      </c>
      <c r="D116">
        <f>IF($A116="","",'게임기록'!$O$42)</f>
      </c>
      <c r="E116">
        <f>IF($A116="","",'게임기록'!$P$42)</f>
      </c>
      <c r="F116">
        <f>IF($A116="","",'게임기록'!$Q$42)</f>
      </c>
      <c r="G116">
        <f>IF($A116="","",'게임기록'!$O$42+'게임기록'!$P$42+'게임기록'!$Q$42)</f>
      </c>
    </row>
    <row r="117" spans="1:7" x14ac:dyDescent="0.25">
      <c r="A117">
        <f>IF(AND('게임기록'!$N$43&lt;&gt;"",'게임기록'!$O$43+'게임기록'!$P$43+'게임기록'!$Q$43&gt;0),'게임기록'!$B$1,"")</f>
      </c>
      <c r="B117">
        <f>IF($A117="","",6)</f>
      </c>
      <c r="C117">
        <f>IF($A117="","",'게임기록'!$N$43)</f>
      </c>
      <c r="D117">
        <f>IF($A117="","",'게임기록'!$O$43)</f>
      </c>
      <c r="E117">
        <f>IF($A117="","",'게임기록'!$P$43)</f>
      </c>
      <c r="F117">
        <f>IF($A117="","",'게임기록'!$Q$43)</f>
      </c>
      <c r="G117">
        <f>IF($A117="","",'게임기록'!$O$43+'게임기록'!$P$43+'게임기록'!$Q$43)</f>
      </c>
    </row>
    <row r="118" spans="1:7" x14ac:dyDescent="0.25">
      <c r="A118">
        <f>IF(AND('게임기록'!$N$44&lt;&gt;"",'게임기록'!$O$44+'게임기록'!$P$44+'게임기록'!$Q$44&gt;0),'게임기록'!$B$1,"")</f>
      </c>
      <c r="B118">
        <f>IF($A118="","",6)</f>
      </c>
      <c r="C118">
        <f>IF($A118="","",'게임기록'!$N$44)</f>
      </c>
      <c r="D118">
        <f>IF($A118="","",'게임기록'!$O$44)</f>
      </c>
      <c r="E118">
        <f>IF($A118="","",'게임기록'!$P$44)</f>
      </c>
      <c r="F118">
        <f>IF($A118="","",'게임기록'!$Q$44)</f>
      </c>
      <c r="G118">
        <f>IF($A118="","",'게임기록'!$O$44+'게임기록'!$P$44+'게임기록'!$Q$44)</f>
      </c>
    </row>
    <row r="119" spans="1:7" x14ac:dyDescent="0.25">
      <c r="A119">
        <f>IF(AND('게임기록'!$N$45&lt;&gt;"",'게임기록'!$O$45+'게임기록'!$P$45+'게임기록'!$Q$45&gt;0),'게임기록'!$B$1,"")</f>
      </c>
      <c r="B119">
        <f>IF($A119="","",6)</f>
      </c>
      <c r="C119">
        <f>IF($A119="","",'게임기록'!$N$45)</f>
      </c>
      <c r="D119">
        <f>IF($A119="","",'게임기록'!$O$45)</f>
      </c>
      <c r="E119">
        <f>IF($A119="","",'게임기록'!$P$45)</f>
      </c>
      <c r="F119">
        <f>IF($A119="","",'게임기록'!$Q$45)</f>
      </c>
      <c r="G119">
        <f>IF($A119="","",'게임기록'!$O$45+'게임기록'!$P$45+'게임기록'!$Q$45)</f>
      </c>
    </row>
    <row r="120" spans="1:7" x14ac:dyDescent="0.25">
      <c r="A120">
        <f>IF(AND('게임기록'!$N$46&lt;&gt;"",'게임기록'!$O$46+'게임기록'!$P$46+'게임기록'!$Q$46&gt;0),'게임기록'!$B$1,"")</f>
      </c>
      <c r="B120">
        <f>IF($A120="","",6)</f>
      </c>
      <c r="C120">
        <f>IF($A120="","",'게임기록'!$N$46)</f>
      </c>
      <c r="D120">
        <f>IF($A120="","",'게임기록'!$O$46)</f>
      </c>
      <c r="E120">
        <f>IF($A120="","",'게임기록'!$P$46)</f>
      </c>
      <c r="F120">
        <f>IF($A120="","",'게임기록'!$Q$46)</f>
      </c>
      <c r="G120">
        <f>IF($A120="","",'게임기록'!$O$46+'게임기록'!$P$46+'게임기록'!$Q$46)</f>
      </c>
    </row>
    <row r="121" spans="1:7" x14ac:dyDescent="0.25">
      <c r="A121">
        <f>IF(AND('게임기록'!$N$47&lt;&gt;"",'게임기록'!$O$47+'게임기록'!$P$47+'게임기록'!$Q$47&gt;0),'게임기록'!$B$1,"")</f>
      </c>
      <c r="B121">
        <f>IF($A121="","",6)</f>
      </c>
      <c r="C121">
        <f>IF($A121="","",'게임기록'!$N$47)</f>
      </c>
      <c r="D121">
        <f>IF($A121="","",'게임기록'!$O$47)</f>
      </c>
      <c r="E121">
        <f>IF($A121="","",'게임기록'!$P$47)</f>
      </c>
      <c r="F121">
        <f>IF($A121="","",'게임기록'!$Q$47)</f>
      </c>
      <c r="G121">
        <f>IF($A121="","",'게임기록'!$O$47+'게임기록'!$P$47+'게임기록'!$Q$47)</f>
      </c>
    </row>
    <row r="122" spans="1:7" x14ac:dyDescent="0.25">
      <c r="A122">
        <f>IF(AND('게임기록'!$B$51&lt;&gt;"",'게임기록'!$C$51+'게임기록'!$D$51+'게임기록'!$E$51&gt;0),'게임기록'!$B$1,"")</f>
      </c>
      <c r="B122">
        <f>IF($A122="","",7)</f>
      </c>
      <c r="C122">
        <f>IF($A122="","",'게임기록'!$B$51)</f>
      </c>
      <c r="D122">
        <f>IF($A122="","",'게임기록'!$C$51)</f>
      </c>
      <c r="E122">
        <f>IF($A122="","",'게임기록'!$D$51)</f>
      </c>
      <c r="F122">
        <f>IF($A122="","",'게임기록'!$E$51)</f>
      </c>
      <c r="G122">
        <f>IF($A122="","",'게임기록'!$C$51+'게임기록'!$D$51+'게임기록'!$E$51)</f>
      </c>
    </row>
    <row r="123" spans="1:7" x14ac:dyDescent="0.25">
      <c r="A123">
        <f>IF(AND('게임기록'!$B$52&lt;&gt;"",'게임기록'!$C$52+'게임기록'!$D$52+'게임기록'!$E$52&gt;0),'게임기록'!$B$1,"")</f>
      </c>
      <c r="B123">
        <f>IF($A123="","",7)</f>
      </c>
      <c r="C123">
        <f>IF($A123="","",'게임기록'!$B$52)</f>
      </c>
      <c r="D123">
        <f>IF($A123="","",'게임기록'!$C$52)</f>
      </c>
      <c r="E123">
        <f>IF($A123="","",'게임기록'!$D$52)</f>
      </c>
      <c r="F123">
        <f>IF($A123="","",'게임기록'!$E$52)</f>
      </c>
      <c r="G123">
        <f>IF($A123="","",'게임기록'!$C$52+'게임기록'!$D$52+'게임기록'!$E$52)</f>
      </c>
    </row>
    <row r="124" spans="1:7" x14ac:dyDescent="0.25">
      <c r="A124">
        <f>IF(AND('게임기록'!$B$53&lt;&gt;"",'게임기록'!$C$53+'게임기록'!$D$53+'게임기록'!$E$53&gt;0),'게임기록'!$B$1,"")</f>
      </c>
      <c r="B124">
        <f>IF($A124="","",7)</f>
      </c>
      <c r="C124">
        <f>IF($A124="","",'게임기록'!$B$53)</f>
      </c>
      <c r="D124">
        <f>IF($A124="","",'게임기록'!$C$53)</f>
      </c>
      <c r="E124">
        <f>IF($A124="","",'게임기록'!$D$53)</f>
      </c>
      <c r="F124">
        <f>IF($A124="","",'게임기록'!$E$53)</f>
      </c>
      <c r="G124">
        <f>IF($A124="","",'게임기록'!$C$53+'게임기록'!$D$53+'게임기록'!$E$53)</f>
      </c>
    </row>
    <row r="125" spans="1:7" x14ac:dyDescent="0.25">
      <c r="A125">
        <f>IF(AND('게임기록'!$B$54&lt;&gt;"",'게임기록'!$C$54+'게임기록'!$D$54+'게임기록'!$E$54&gt;0),'게임기록'!$B$1,"")</f>
      </c>
      <c r="B125">
        <f>IF($A125="","",7)</f>
      </c>
      <c r="C125">
        <f>IF($A125="","",'게임기록'!$B$54)</f>
      </c>
      <c r="D125">
        <f>IF($A125="","",'게임기록'!$C$54)</f>
      </c>
      <c r="E125">
        <f>IF($A125="","",'게임기록'!$D$54)</f>
      </c>
      <c r="F125">
        <f>IF($A125="","",'게임기록'!$E$54)</f>
      </c>
      <c r="G125">
        <f>IF($A125="","",'게임기록'!$C$54+'게임기록'!$D$54+'게임기록'!$E$54)</f>
      </c>
    </row>
    <row r="126" spans="1:7" x14ac:dyDescent="0.25">
      <c r="A126">
        <f>IF(AND('게임기록'!$B$55&lt;&gt;"",'게임기록'!$C$55+'게임기록'!$D$55+'게임기록'!$E$55&gt;0),'게임기록'!$B$1,"")</f>
      </c>
      <c r="B126">
        <f>IF($A126="","",7)</f>
      </c>
      <c r="C126">
        <f>IF($A126="","",'게임기록'!$B$55)</f>
      </c>
      <c r="D126">
        <f>IF($A126="","",'게임기록'!$C$55)</f>
      </c>
      <c r="E126">
        <f>IF($A126="","",'게임기록'!$D$55)</f>
      </c>
      <c r="F126">
        <f>IF($A126="","",'게임기록'!$E$55)</f>
      </c>
      <c r="G126">
        <f>IF($A126="","",'게임기록'!$C$55+'게임기록'!$D$55+'게임기록'!$E$55)</f>
      </c>
    </row>
    <row r="127" spans="1:7" x14ac:dyDescent="0.25">
      <c r="A127">
        <f>IF(AND('게임기록'!$B$56&lt;&gt;"",'게임기록'!$C$56+'게임기록'!$D$56+'게임기록'!$E$56&gt;0),'게임기록'!$B$1,"")</f>
      </c>
      <c r="B127">
        <f>IF($A127="","",7)</f>
      </c>
      <c r="C127">
        <f>IF($A127="","",'게임기록'!$B$56)</f>
      </c>
      <c r="D127">
        <f>IF($A127="","",'게임기록'!$C$56)</f>
      </c>
      <c r="E127">
        <f>IF($A127="","",'게임기록'!$D$56)</f>
      </c>
      <c r="F127">
        <f>IF($A127="","",'게임기록'!$E$56)</f>
      </c>
      <c r="G127">
        <f>IF($A127="","",'게임기록'!$C$56+'게임기록'!$D$56+'게임기록'!$E$56)</f>
      </c>
    </row>
    <row r="128" spans="1:7" x14ac:dyDescent="0.25">
      <c r="A128">
        <f>IF(AND('게임기록'!$B$57&lt;&gt;"",'게임기록'!$C$57+'게임기록'!$D$57+'게임기록'!$E$57&gt;0),'게임기록'!$B$1,"")</f>
      </c>
      <c r="B128">
        <f>IF($A128="","",7)</f>
      </c>
      <c r="C128">
        <f>IF($A128="","",'게임기록'!$B$57)</f>
      </c>
      <c r="D128">
        <f>IF($A128="","",'게임기록'!$C$57)</f>
      </c>
      <c r="E128">
        <f>IF($A128="","",'게임기록'!$D$57)</f>
      </c>
      <c r="F128">
        <f>IF($A128="","",'게임기록'!$E$57)</f>
      </c>
      <c r="G128">
        <f>IF($A128="","",'게임기록'!$C$57+'게임기록'!$D$57+'게임기록'!$E$57)</f>
      </c>
    </row>
    <row r="129" spans="1:7" x14ac:dyDescent="0.25">
      <c r="A129">
        <f>IF(AND('게임기록'!$B$58&lt;&gt;"",'게임기록'!$C$58+'게임기록'!$D$58+'게임기록'!$E$58&gt;0),'게임기록'!$B$1,"")</f>
      </c>
      <c r="B129">
        <f>IF($A129="","",7)</f>
      </c>
      <c r="C129">
        <f>IF($A129="","",'게임기록'!$B$58)</f>
      </c>
      <c r="D129">
        <f>IF($A129="","",'게임기록'!$C$58)</f>
      </c>
      <c r="E129">
        <f>IF($A129="","",'게임기록'!$D$58)</f>
      </c>
      <c r="F129">
        <f>IF($A129="","",'게임기록'!$E$58)</f>
      </c>
      <c r="G129">
        <f>IF($A129="","",'게임기록'!$C$58+'게임기록'!$D$58+'게임기록'!$E$58)</f>
      </c>
    </row>
    <row r="130" spans="1:7" x14ac:dyDescent="0.25">
      <c r="A130">
        <f>IF(AND('게임기록'!$B$59&lt;&gt;"",'게임기록'!$C$59+'게임기록'!$D$59+'게임기록'!$E$59&gt;0),'게임기록'!$B$1,"")</f>
      </c>
      <c r="B130">
        <f>IF($A130="","",7)</f>
      </c>
      <c r="C130">
        <f>IF($A130="","",'게임기록'!$B$59)</f>
      </c>
      <c r="D130">
        <f>IF($A130="","",'게임기록'!$C$59)</f>
      </c>
      <c r="E130">
        <f>IF($A130="","",'게임기록'!$D$59)</f>
      </c>
      <c r="F130">
        <f>IF($A130="","",'게임기록'!$E$59)</f>
      </c>
      <c r="G130">
        <f>IF($A130="","",'게임기록'!$C$59+'게임기록'!$D$59+'게임기록'!$E$59)</f>
      </c>
    </row>
    <row r="131" spans="1:7" x14ac:dyDescent="0.25">
      <c r="A131">
        <f>IF(AND('게임기록'!$B$60&lt;&gt;"",'게임기록'!$C$60+'게임기록'!$D$60+'게임기록'!$E$60&gt;0),'게임기록'!$B$1,"")</f>
      </c>
      <c r="B131">
        <f>IF($A131="","",7)</f>
      </c>
      <c r="C131">
        <f>IF($A131="","",'게임기록'!$B$60)</f>
      </c>
      <c r="D131">
        <f>IF($A131="","",'게임기록'!$C$60)</f>
      </c>
      <c r="E131">
        <f>IF($A131="","",'게임기록'!$D$60)</f>
      </c>
      <c r="F131">
        <f>IF($A131="","",'게임기록'!$E$60)</f>
      </c>
      <c r="G131">
        <f>IF($A131="","",'게임기록'!$C$60+'게임기록'!$D$60+'게임기록'!$E$60)</f>
      </c>
    </row>
    <row r="132" spans="1:7" x14ac:dyDescent="0.25">
      <c r="A132">
        <f>IF(AND('게임기록'!$B$61&lt;&gt;"",'게임기록'!$C$61+'게임기록'!$D$61+'게임기록'!$E$61&gt;0),'게임기록'!$B$1,"")</f>
      </c>
      <c r="B132">
        <f>IF($A132="","",7)</f>
      </c>
      <c r="C132">
        <f>IF($A132="","",'게임기록'!$B$61)</f>
      </c>
      <c r="D132">
        <f>IF($A132="","",'게임기록'!$C$61)</f>
      </c>
      <c r="E132">
        <f>IF($A132="","",'게임기록'!$D$61)</f>
      </c>
      <c r="F132">
        <f>IF($A132="","",'게임기록'!$E$61)</f>
      </c>
      <c r="G132">
        <f>IF($A132="","",'게임기록'!$C$61+'게임기록'!$D$61+'게임기록'!$E$61)</f>
      </c>
    </row>
    <row r="133" spans="1:7" x14ac:dyDescent="0.25">
      <c r="A133">
        <f>IF(AND('게임기록'!$B$62&lt;&gt;"",'게임기록'!$C$62+'게임기록'!$D$62+'게임기록'!$E$62&gt;0),'게임기록'!$B$1,"")</f>
      </c>
      <c r="B133">
        <f>IF($A133="","",7)</f>
      </c>
      <c r="C133">
        <f>IF($A133="","",'게임기록'!$B$62)</f>
      </c>
      <c r="D133">
        <f>IF($A133="","",'게임기록'!$C$62)</f>
      </c>
      <c r="E133">
        <f>IF($A133="","",'게임기록'!$D$62)</f>
      </c>
      <c r="F133">
        <f>IF($A133="","",'게임기록'!$E$62)</f>
      </c>
      <c r="G133">
        <f>IF($A133="","",'게임기록'!$C$62+'게임기록'!$D$62+'게임기록'!$E$62)</f>
      </c>
    </row>
    <row r="134" spans="1:7" x14ac:dyDescent="0.25">
      <c r="A134">
        <f>IF(AND('게임기록'!$B$63&lt;&gt;"",'게임기록'!$C$63+'게임기록'!$D$63+'게임기록'!$E$63&gt;0),'게임기록'!$B$1,"")</f>
      </c>
      <c r="B134">
        <f>IF($A134="","",7)</f>
      </c>
      <c r="C134">
        <f>IF($A134="","",'게임기록'!$B$63)</f>
      </c>
      <c r="D134">
        <f>IF($A134="","",'게임기록'!$C$63)</f>
      </c>
      <c r="E134">
        <f>IF($A134="","",'게임기록'!$D$63)</f>
      </c>
      <c r="F134">
        <f>IF($A134="","",'게임기록'!$E$63)</f>
      </c>
      <c r="G134">
        <f>IF($A134="","",'게임기록'!$C$63+'게임기록'!$D$63+'게임기록'!$E$63)</f>
      </c>
    </row>
    <row r="135" spans="1:7" x14ac:dyDescent="0.25">
      <c r="A135">
        <f>IF(AND('게임기록'!$B$64&lt;&gt;"",'게임기록'!$C$64+'게임기록'!$D$64+'게임기록'!$E$64&gt;0),'게임기록'!$B$1,"")</f>
      </c>
      <c r="B135">
        <f>IF($A135="","",7)</f>
      </c>
      <c r="C135">
        <f>IF($A135="","",'게임기록'!$B$64)</f>
      </c>
      <c r="D135">
        <f>IF($A135="","",'게임기록'!$C$64)</f>
      </c>
      <c r="E135">
        <f>IF($A135="","",'게임기록'!$D$64)</f>
      </c>
      <c r="F135">
        <f>IF($A135="","",'게임기록'!$E$64)</f>
      </c>
      <c r="G135">
        <f>IF($A135="","",'게임기록'!$C$64+'게임기록'!$D$64+'게임기록'!$E$64)</f>
      </c>
    </row>
    <row r="136" spans="1:7" x14ac:dyDescent="0.25">
      <c r="A136">
        <f>IF(AND('게임기록'!$B$65&lt;&gt;"",'게임기록'!$C$65+'게임기록'!$D$65+'게임기록'!$E$65&gt;0),'게임기록'!$B$1,"")</f>
      </c>
      <c r="B136">
        <f>IF($A136="","",7)</f>
      </c>
      <c r="C136">
        <f>IF($A136="","",'게임기록'!$B$65)</f>
      </c>
      <c r="D136">
        <f>IF($A136="","",'게임기록'!$C$65)</f>
      </c>
      <c r="E136">
        <f>IF($A136="","",'게임기록'!$D$65)</f>
      </c>
      <c r="F136">
        <f>IF($A136="","",'게임기록'!$E$65)</f>
      </c>
      <c r="G136">
        <f>IF($A136="","",'게임기록'!$C$65+'게임기록'!$D$65+'게임기록'!$E$65)</f>
      </c>
    </row>
    <row r="137" spans="1:7" x14ac:dyDescent="0.25">
      <c r="A137">
        <f>IF(AND('게임기록'!$B$66&lt;&gt;"",'게임기록'!$C$66+'게임기록'!$D$66+'게임기록'!$E$66&gt;0),'게임기록'!$B$1,"")</f>
      </c>
      <c r="B137">
        <f>IF($A137="","",7)</f>
      </c>
      <c r="C137">
        <f>IF($A137="","",'게임기록'!$B$66)</f>
      </c>
      <c r="D137">
        <f>IF($A137="","",'게임기록'!$C$66)</f>
      </c>
      <c r="E137">
        <f>IF($A137="","",'게임기록'!$D$66)</f>
      </c>
      <c r="F137">
        <f>IF($A137="","",'게임기록'!$E$66)</f>
      </c>
      <c r="G137">
        <f>IF($A137="","",'게임기록'!$C$66+'게임기록'!$D$66+'게임기록'!$E$66)</f>
      </c>
    </row>
    <row r="138" spans="1:7" x14ac:dyDescent="0.25">
      <c r="A138">
        <f>IF(AND('게임기록'!$B$67&lt;&gt;"",'게임기록'!$C$67+'게임기록'!$D$67+'게임기록'!$E$67&gt;0),'게임기록'!$B$1,"")</f>
      </c>
      <c r="B138">
        <f>IF($A138="","",7)</f>
      </c>
      <c r="C138">
        <f>IF($A138="","",'게임기록'!$B$67)</f>
      </c>
      <c r="D138">
        <f>IF($A138="","",'게임기록'!$C$67)</f>
      </c>
      <c r="E138">
        <f>IF($A138="","",'게임기록'!$D$67)</f>
      </c>
      <c r="F138">
        <f>IF($A138="","",'게임기록'!$E$67)</f>
      </c>
      <c r="G138">
        <f>IF($A138="","",'게임기록'!$C$67+'게임기록'!$D$67+'게임기록'!$E$67)</f>
      </c>
    </row>
    <row r="139" spans="1:7" x14ac:dyDescent="0.25">
      <c r="A139">
        <f>IF(AND('게임기록'!$B$68&lt;&gt;"",'게임기록'!$C$68+'게임기록'!$D$68+'게임기록'!$E$68&gt;0),'게임기록'!$B$1,"")</f>
      </c>
      <c r="B139">
        <f>IF($A139="","",7)</f>
      </c>
      <c r="C139">
        <f>IF($A139="","",'게임기록'!$B$68)</f>
      </c>
      <c r="D139">
        <f>IF($A139="","",'게임기록'!$C$68)</f>
      </c>
      <c r="E139">
        <f>IF($A139="","",'게임기록'!$D$68)</f>
      </c>
      <c r="F139">
        <f>IF($A139="","",'게임기록'!$E$68)</f>
      </c>
      <c r="G139">
        <f>IF($A139="","",'게임기록'!$C$68+'게임기록'!$D$68+'게임기록'!$E$68)</f>
      </c>
    </row>
    <row r="140" spans="1:7" x14ac:dyDescent="0.25">
      <c r="A140">
        <f>IF(AND('게임기록'!$B$69&lt;&gt;"",'게임기록'!$C$69+'게임기록'!$D$69+'게임기록'!$E$69&gt;0),'게임기록'!$B$1,"")</f>
      </c>
      <c r="B140">
        <f>IF($A140="","",7)</f>
      </c>
      <c r="C140">
        <f>IF($A140="","",'게임기록'!$B$69)</f>
      </c>
      <c r="D140">
        <f>IF($A140="","",'게임기록'!$C$69)</f>
      </c>
      <c r="E140">
        <f>IF($A140="","",'게임기록'!$D$69)</f>
      </c>
      <c r="F140">
        <f>IF($A140="","",'게임기록'!$E$69)</f>
      </c>
      <c r="G140">
        <f>IF($A140="","",'게임기록'!$C$69+'게임기록'!$D$69+'게임기록'!$E$69)</f>
      </c>
    </row>
    <row r="141" spans="1:7" x14ac:dyDescent="0.25">
      <c r="A141">
        <f>IF(AND('게임기록'!$B$70&lt;&gt;"",'게임기록'!$C$70+'게임기록'!$D$70+'게임기록'!$E$70&gt;0),'게임기록'!$B$1,"")</f>
      </c>
      <c r="B141">
        <f>IF($A141="","",7)</f>
      </c>
      <c r="C141">
        <f>IF($A141="","",'게임기록'!$B$70)</f>
      </c>
      <c r="D141">
        <f>IF($A141="","",'게임기록'!$C$70)</f>
      </c>
      <c r="E141">
        <f>IF($A141="","",'게임기록'!$D$70)</f>
      </c>
      <c r="F141">
        <f>IF($A141="","",'게임기록'!$E$70)</f>
      </c>
      <c r="G141">
        <f>IF($A141="","",'게임기록'!$C$70+'게임기록'!$D$70+'게임기록'!$E$70)</f>
      </c>
    </row>
    <row r="142" spans="1:7" x14ac:dyDescent="0.25">
      <c r="A142">
        <f>IF(AND('게임기록'!$H$51&lt;&gt;"",'게임기록'!$I$51+'게임기록'!$J$51+'게임기록'!$K$51&gt;0),'게임기록'!$B$1,"")</f>
      </c>
      <c r="B142">
        <f>IF($A142="","",8)</f>
      </c>
      <c r="C142">
        <f>IF($A142="","",'게임기록'!$H$51)</f>
      </c>
      <c r="D142">
        <f>IF($A142="","",'게임기록'!$I$51)</f>
      </c>
      <c r="E142">
        <f>IF($A142="","",'게임기록'!$J$51)</f>
      </c>
      <c r="F142">
        <f>IF($A142="","",'게임기록'!$K$51)</f>
      </c>
      <c r="G142">
        <f>IF($A142="","",'게임기록'!$I$51+'게임기록'!$J$51+'게임기록'!$K$51)</f>
      </c>
    </row>
    <row r="143" spans="1:7" x14ac:dyDescent="0.25">
      <c r="A143">
        <f>IF(AND('게임기록'!$H$52&lt;&gt;"",'게임기록'!$I$52+'게임기록'!$J$52+'게임기록'!$K$52&gt;0),'게임기록'!$B$1,"")</f>
      </c>
      <c r="B143">
        <f>IF($A143="","",8)</f>
      </c>
      <c r="C143">
        <f>IF($A143="","",'게임기록'!$H$52)</f>
      </c>
      <c r="D143">
        <f>IF($A143="","",'게임기록'!$I$52)</f>
      </c>
      <c r="E143">
        <f>IF($A143="","",'게임기록'!$J$52)</f>
      </c>
      <c r="F143">
        <f>IF($A143="","",'게임기록'!$K$52)</f>
      </c>
      <c r="G143">
        <f>IF($A143="","",'게임기록'!$I$52+'게임기록'!$J$52+'게임기록'!$K$52)</f>
      </c>
    </row>
    <row r="144" spans="1:7" x14ac:dyDescent="0.25">
      <c r="A144">
        <f>IF(AND('게임기록'!$H$53&lt;&gt;"",'게임기록'!$I$53+'게임기록'!$J$53+'게임기록'!$K$53&gt;0),'게임기록'!$B$1,"")</f>
      </c>
      <c r="B144">
        <f>IF($A144="","",8)</f>
      </c>
      <c r="C144">
        <f>IF($A144="","",'게임기록'!$H$53)</f>
      </c>
      <c r="D144">
        <f>IF($A144="","",'게임기록'!$I$53)</f>
      </c>
      <c r="E144">
        <f>IF($A144="","",'게임기록'!$J$53)</f>
      </c>
      <c r="F144">
        <f>IF($A144="","",'게임기록'!$K$53)</f>
      </c>
      <c r="G144">
        <f>IF($A144="","",'게임기록'!$I$53+'게임기록'!$J$53+'게임기록'!$K$53)</f>
      </c>
    </row>
    <row r="145" spans="1:7" x14ac:dyDescent="0.25">
      <c r="A145">
        <f>IF(AND('게임기록'!$H$54&lt;&gt;"",'게임기록'!$I$54+'게임기록'!$J$54+'게임기록'!$K$54&gt;0),'게임기록'!$B$1,"")</f>
      </c>
      <c r="B145">
        <f>IF($A145="","",8)</f>
      </c>
      <c r="C145">
        <f>IF($A145="","",'게임기록'!$H$54)</f>
      </c>
      <c r="D145">
        <f>IF($A145="","",'게임기록'!$I$54)</f>
      </c>
      <c r="E145">
        <f>IF($A145="","",'게임기록'!$J$54)</f>
      </c>
      <c r="F145">
        <f>IF($A145="","",'게임기록'!$K$54)</f>
      </c>
      <c r="G145">
        <f>IF($A145="","",'게임기록'!$I$54+'게임기록'!$J$54+'게임기록'!$K$54)</f>
      </c>
    </row>
    <row r="146" spans="1:7" x14ac:dyDescent="0.25">
      <c r="A146">
        <f>IF(AND('게임기록'!$H$55&lt;&gt;"",'게임기록'!$I$55+'게임기록'!$J$55+'게임기록'!$K$55&gt;0),'게임기록'!$B$1,"")</f>
      </c>
      <c r="B146">
        <f>IF($A146="","",8)</f>
      </c>
      <c r="C146">
        <f>IF($A146="","",'게임기록'!$H$55)</f>
      </c>
      <c r="D146">
        <f>IF($A146="","",'게임기록'!$I$55)</f>
      </c>
      <c r="E146">
        <f>IF($A146="","",'게임기록'!$J$55)</f>
      </c>
      <c r="F146">
        <f>IF($A146="","",'게임기록'!$K$55)</f>
      </c>
      <c r="G146">
        <f>IF($A146="","",'게임기록'!$I$55+'게임기록'!$J$55+'게임기록'!$K$55)</f>
      </c>
    </row>
    <row r="147" spans="1:7" x14ac:dyDescent="0.25">
      <c r="A147">
        <f>IF(AND('게임기록'!$H$56&lt;&gt;"",'게임기록'!$I$56+'게임기록'!$J$56+'게임기록'!$K$56&gt;0),'게임기록'!$B$1,"")</f>
      </c>
      <c r="B147">
        <f>IF($A147="","",8)</f>
      </c>
      <c r="C147">
        <f>IF($A147="","",'게임기록'!$H$56)</f>
      </c>
      <c r="D147">
        <f>IF($A147="","",'게임기록'!$I$56)</f>
      </c>
      <c r="E147">
        <f>IF($A147="","",'게임기록'!$J$56)</f>
      </c>
      <c r="F147">
        <f>IF($A147="","",'게임기록'!$K$56)</f>
      </c>
      <c r="G147">
        <f>IF($A147="","",'게임기록'!$I$56+'게임기록'!$J$56+'게임기록'!$K$56)</f>
      </c>
    </row>
    <row r="148" spans="1:7" x14ac:dyDescent="0.25">
      <c r="A148">
        <f>IF(AND('게임기록'!$H$57&lt;&gt;"",'게임기록'!$I$57+'게임기록'!$J$57+'게임기록'!$K$57&gt;0),'게임기록'!$B$1,"")</f>
      </c>
      <c r="B148">
        <f>IF($A148="","",8)</f>
      </c>
      <c r="C148">
        <f>IF($A148="","",'게임기록'!$H$57)</f>
      </c>
      <c r="D148">
        <f>IF($A148="","",'게임기록'!$I$57)</f>
      </c>
      <c r="E148">
        <f>IF($A148="","",'게임기록'!$J$57)</f>
      </c>
      <c r="F148">
        <f>IF($A148="","",'게임기록'!$K$57)</f>
      </c>
      <c r="G148">
        <f>IF($A148="","",'게임기록'!$I$57+'게임기록'!$J$57+'게임기록'!$K$57)</f>
      </c>
    </row>
    <row r="149" spans="1:7" x14ac:dyDescent="0.25">
      <c r="A149">
        <f>IF(AND('게임기록'!$H$58&lt;&gt;"",'게임기록'!$I$58+'게임기록'!$J$58+'게임기록'!$K$58&gt;0),'게임기록'!$B$1,"")</f>
      </c>
      <c r="B149">
        <f>IF($A149="","",8)</f>
      </c>
      <c r="C149">
        <f>IF($A149="","",'게임기록'!$H$58)</f>
      </c>
      <c r="D149">
        <f>IF($A149="","",'게임기록'!$I$58)</f>
      </c>
      <c r="E149">
        <f>IF($A149="","",'게임기록'!$J$58)</f>
      </c>
      <c r="F149">
        <f>IF($A149="","",'게임기록'!$K$58)</f>
      </c>
      <c r="G149">
        <f>IF($A149="","",'게임기록'!$I$58+'게임기록'!$J$58+'게임기록'!$K$58)</f>
      </c>
    </row>
    <row r="150" spans="1:7" x14ac:dyDescent="0.25">
      <c r="A150">
        <f>IF(AND('게임기록'!$H$59&lt;&gt;"",'게임기록'!$I$59+'게임기록'!$J$59+'게임기록'!$K$59&gt;0),'게임기록'!$B$1,"")</f>
      </c>
      <c r="B150">
        <f>IF($A150="","",8)</f>
      </c>
      <c r="C150">
        <f>IF($A150="","",'게임기록'!$H$59)</f>
      </c>
      <c r="D150">
        <f>IF($A150="","",'게임기록'!$I$59)</f>
      </c>
      <c r="E150">
        <f>IF($A150="","",'게임기록'!$J$59)</f>
      </c>
      <c r="F150">
        <f>IF($A150="","",'게임기록'!$K$59)</f>
      </c>
      <c r="G150">
        <f>IF($A150="","",'게임기록'!$I$59+'게임기록'!$J$59+'게임기록'!$K$59)</f>
      </c>
    </row>
    <row r="151" spans="1:7" x14ac:dyDescent="0.25">
      <c r="A151">
        <f>IF(AND('게임기록'!$H$60&lt;&gt;"",'게임기록'!$I$60+'게임기록'!$J$60+'게임기록'!$K$60&gt;0),'게임기록'!$B$1,"")</f>
      </c>
      <c r="B151">
        <f>IF($A151="","",8)</f>
      </c>
      <c r="C151">
        <f>IF($A151="","",'게임기록'!$H$60)</f>
      </c>
      <c r="D151">
        <f>IF($A151="","",'게임기록'!$I$60)</f>
      </c>
      <c r="E151">
        <f>IF($A151="","",'게임기록'!$J$60)</f>
      </c>
      <c r="F151">
        <f>IF($A151="","",'게임기록'!$K$60)</f>
      </c>
      <c r="G151">
        <f>IF($A151="","",'게임기록'!$I$60+'게임기록'!$J$60+'게임기록'!$K$60)</f>
      </c>
    </row>
    <row r="152" spans="1:7" x14ac:dyDescent="0.25">
      <c r="A152">
        <f>IF(AND('게임기록'!$H$61&lt;&gt;"",'게임기록'!$I$61+'게임기록'!$J$61+'게임기록'!$K$61&gt;0),'게임기록'!$B$1,"")</f>
      </c>
      <c r="B152">
        <f>IF($A152="","",8)</f>
      </c>
      <c r="C152">
        <f>IF($A152="","",'게임기록'!$H$61)</f>
      </c>
      <c r="D152">
        <f>IF($A152="","",'게임기록'!$I$61)</f>
      </c>
      <c r="E152">
        <f>IF($A152="","",'게임기록'!$J$61)</f>
      </c>
      <c r="F152">
        <f>IF($A152="","",'게임기록'!$K$61)</f>
      </c>
      <c r="G152">
        <f>IF($A152="","",'게임기록'!$I$61+'게임기록'!$J$61+'게임기록'!$K$61)</f>
      </c>
    </row>
    <row r="153" spans="1:7" x14ac:dyDescent="0.25">
      <c r="A153">
        <f>IF(AND('게임기록'!$H$62&lt;&gt;"",'게임기록'!$I$62+'게임기록'!$J$62+'게임기록'!$K$62&gt;0),'게임기록'!$B$1,"")</f>
      </c>
      <c r="B153">
        <f>IF($A153="","",8)</f>
      </c>
      <c r="C153">
        <f>IF($A153="","",'게임기록'!$H$62)</f>
      </c>
      <c r="D153">
        <f>IF($A153="","",'게임기록'!$I$62)</f>
      </c>
      <c r="E153">
        <f>IF($A153="","",'게임기록'!$J$62)</f>
      </c>
      <c r="F153">
        <f>IF($A153="","",'게임기록'!$K$62)</f>
      </c>
      <c r="G153">
        <f>IF($A153="","",'게임기록'!$I$62+'게임기록'!$J$62+'게임기록'!$K$62)</f>
      </c>
    </row>
    <row r="154" spans="1:7" x14ac:dyDescent="0.25">
      <c r="A154">
        <f>IF(AND('게임기록'!$H$63&lt;&gt;"",'게임기록'!$I$63+'게임기록'!$J$63+'게임기록'!$K$63&gt;0),'게임기록'!$B$1,"")</f>
      </c>
      <c r="B154">
        <f>IF($A154="","",8)</f>
      </c>
      <c r="C154">
        <f>IF($A154="","",'게임기록'!$H$63)</f>
      </c>
      <c r="D154">
        <f>IF($A154="","",'게임기록'!$I$63)</f>
      </c>
      <c r="E154">
        <f>IF($A154="","",'게임기록'!$J$63)</f>
      </c>
      <c r="F154">
        <f>IF($A154="","",'게임기록'!$K$63)</f>
      </c>
      <c r="G154">
        <f>IF($A154="","",'게임기록'!$I$63+'게임기록'!$J$63+'게임기록'!$K$63)</f>
      </c>
    </row>
    <row r="155" spans="1:7" x14ac:dyDescent="0.25">
      <c r="A155">
        <f>IF(AND('게임기록'!$H$64&lt;&gt;"",'게임기록'!$I$64+'게임기록'!$J$64+'게임기록'!$K$64&gt;0),'게임기록'!$B$1,"")</f>
      </c>
      <c r="B155">
        <f>IF($A155="","",8)</f>
      </c>
      <c r="C155">
        <f>IF($A155="","",'게임기록'!$H$64)</f>
      </c>
      <c r="D155">
        <f>IF($A155="","",'게임기록'!$I$64)</f>
      </c>
      <c r="E155">
        <f>IF($A155="","",'게임기록'!$J$64)</f>
      </c>
      <c r="F155">
        <f>IF($A155="","",'게임기록'!$K$64)</f>
      </c>
      <c r="G155">
        <f>IF($A155="","",'게임기록'!$I$64+'게임기록'!$J$64+'게임기록'!$K$64)</f>
      </c>
    </row>
    <row r="156" spans="1:7" x14ac:dyDescent="0.25">
      <c r="A156">
        <f>IF(AND('게임기록'!$H$65&lt;&gt;"",'게임기록'!$I$65+'게임기록'!$J$65+'게임기록'!$K$65&gt;0),'게임기록'!$B$1,"")</f>
      </c>
      <c r="B156">
        <f>IF($A156="","",8)</f>
      </c>
      <c r="C156">
        <f>IF($A156="","",'게임기록'!$H$65)</f>
      </c>
      <c r="D156">
        <f>IF($A156="","",'게임기록'!$I$65)</f>
      </c>
      <c r="E156">
        <f>IF($A156="","",'게임기록'!$J$65)</f>
      </c>
      <c r="F156">
        <f>IF($A156="","",'게임기록'!$K$65)</f>
      </c>
      <c r="G156">
        <f>IF($A156="","",'게임기록'!$I$65+'게임기록'!$J$65+'게임기록'!$K$65)</f>
      </c>
    </row>
    <row r="157" spans="1:7" x14ac:dyDescent="0.25">
      <c r="A157">
        <f>IF(AND('게임기록'!$H$66&lt;&gt;"",'게임기록'!$I$66+'게임기록'!$J$66+'게임기록'!$K$66&gt;0),'게임기록'!$B$1,"")</f>
      </c>
      <c r="B157">
        <f>IF($A157="","",8)</f>
      </c>
      <c r="C157">
        <f>IF($A157="","",'게임기록'!$H$66)</f>
      </c>
      <c r="D157">
        <f>IF($A157="","",'게임기록'!$I$66)</f>
      </c>
      <c r="E157">
        <f>IF($A157="","",'게임기록'!$J$66)</f>
      </c>
      <c r="F157">
        <f>IF($A157="","",'게임기록'!$K$66)</f>
      </c>
      <c r="G157">
        <f>IF($A157="","",'게임기록'!$I$66+'게임기록'!$J$66+'게임기록'!$K$66)</f>
      </c>
    </row>
    <row r="158" spans="1:7" x14ac:dyDescent="0.25">
      <c r="A158">
        <f>IF(AND('게임기록'!$H$67&lt;&gt;"",'게임기록'!$I$67+'게임기록'!$J$67+'게임기록'!$K$67&gt;0),'게임기록'!$B$1,"")</f>
      </c>
      <c r="B158">
        <f>IF($A158="","",8)</f>
      </c>
      <c r="C158">
        <f>IF($A158="","",'게임기록'!$H$67)</f>
      </c>
      <c r="D158">
        <f>IF($A158="","",'게임기록'!$I$67)</f>
      </c>
      <c r="E158">
        <f>IF($A158="","",'게임기록'!$J$67)</f>
      </c>
      <c r="F158">
        <f>IF($A158="","",'게임기록'!$K$67)</f>
      </c>
      <c r="G158">
        <f>IF($A158="","",'게임기록'!$I$67+'게임기록'!$J$67+'게임기록'!$K$67)</f>
      </c>
    </row>
    <row r="159" spans="1:7" x14ac:dyDescent="0.25">
      <c r="A159">
        <f>IF(AND('게임기록'!$H$68&lt;&gt;"",'게임기록'!$I$68+'게임기록'!$J$68+'게임기록'!$K$68&gt;0),'게임기록'!$B$1,"")</f>
      </c>
      <c r="B159">
        <f>IF($A159="","",8)</f>
      </c>
      <c r="C159">
        <f>IF($A159="","",'게임기록'!$H$68)</f>
      </c>
      <c r="D159">
        <f>IF($A159="","",'게임기록'!$I$68)</f>
      </c>
      <c r="E159">
        <f>IF($A159="","",'게임기록'!$J$68)</f>
      </c>
      <c r="F159">
        <f>IF($A159="","",'게임기록'!$K$68)</f>
      </c>
      <c r="G159">
        <f>IF($A159="","",'게임기록'!$I$68+'게임기록'!$J$68+'게임기록'!$K$68)</f>
      </c>
    </row>
    <row r="160" spans="1:7" x14ac:dyDescent="0.25">
      <c r="A160">
        <f>IF(AND('게임기록'!$H$69&lt;&gt;"",'게임기록'!$I$69+'게임기록'!$J$69+'게임기록'!$K$69&gt;0),'게임기록'!$B$1,"")</f>
      </c>
      <c r="B160">
        <f>IF($A160="","",8)</f>
      </c>
      <c r="C160">
        <f>IF($A160="","",'게임기록'!$H$69)</f>
      </c>
      <c r="D160">
        <f>IF($A160="","",'게임기록'!$I$69)</f>
      </c>
      <c r="E160">
        <f>IF($A160="","",'게임기록'!$J$69)</f>
      </c>
      <c r="F160">
        <f>IF($A160="","",'게임기록'!$K$69)</f>
      </c>
      <c r="G160">
        <f>IF($A160="","",'게임기록'!$I$69+'게임기록'!$J$69+'게임기록'!$K$69)</f>
      </c>
    </row>
    <row r="161" spans="1:7" x14ac:dyDescent="0.25">
      <c r="A161">
        <f>IF(AND('게임기록'!$H$70&lt;&gt;"",'게임기록'!$I$70+'게임기록'!$J$70+'게임기록'!$K$70&gt;0),'게임기록'!$B$1,"")</f>
      </c>
      <c r="B161">
        <f>IF($A161="","",8)</f>
      </c>
      <c r="C161">
        <f>IF($A161="","",'게임기록'!$H$70)</f>
      </c>
      <c r="D161">
        <f>IF($A161="","",'게임기록'!$I$70)</f>
      </c>
      <c r="E161">
        <f>IF($A161="","",'게임기록'!$J$70)</f>
      </c>
      <c r="F161">
        <f>IF($A161="","",'게임기록'!$K$70)</f>
      </c>
      <c r="G161">
        <f>IF($A161="","",'게임기록'!$I$70+'게임기록'!$J$70+'게임기록'!$K$70)</f>
      </c>
    </row>
    <row r="162" spans="1:7" x14ac:dyDescent="0.25">
      <c r="A162">
        <f>IF(AND('게임기록'!$N$51&lt;&gt;"",'게임기록'!$O$51+'게임기록'!$P$51+'게임기록'!$Q$51&gt;0),'게임기록'!$B$1,"")</f>
      </c>
      <c r="B162">
        <f>IF($A162="","",9)</f>
      </c>
      <c r="C162">
        <f>IF($A162="","",'게임기록'!$N$51)</f>
      </c>
      <c r="D162">
        <f>IF($A162="","",'게임기록'!$O$51)</f>
      </c>
      <c r="E162">
        <f>IF($A162="","",'게임기록'!$P$51)</f>
      </c>
      <c r="F162">
        <f>IF($A162="","",'게임기록'!$Q$51)</f>
      </c>
      <c r="G162">
        <f>IF($A162="","",'게임기록'!$O$51+'게임기록'!$P$51+'게임기록'!$Q$51)</f>
      </c>
    </row>
    <row r="163" spans="1:7" x14ac:dyDescent="0.25">
      <c r="A163">
        <f>IF(AND('게임기록'!$N$52&lt;&gt;"",'게임기록'!$O$52+'게임기록'!$P$52+'게임기록'!$Q$52&gt;0),'게임기록'!$B$1,"")</f>
      </c>
      <c r="B163">
        <f>IF($A163="","",9)</f>
      </c>
      <c r="C163">
        <f>IF($A163="","",'게임기록'!$N$52)</f>
      </c>
      <c r="D163">
        <f>IF($A163="","",'게임기록'!$O$52)</f>
      </c>
      <c r="E163">
        <f>IF($A163="","",'게임기록'!$P$52)</f>
      </c>
      <c r="F163">
        <f>IF($A163="","",'게임기록'!$Q$52)</f>
      </c>
      <c r="G163">
        <f>IF($A163="","",'게임기록'!$O$52+'게임기록'!$P$52+'게임기록'!$Q$52)</f>
      </c>
    </row>
    <row r="164" spans="1:7" x14ac:dyDescent="0.25">
      <c r="A164">
        <f>IF(AND('게임기록'!$N$53&lt;&gt;"",'게임기록'!$O$53+'게임기록'!$P$53+'게임기록'!$Q$53&gt;0),'게임기록'!$B$1,"")</f>
      </c>
      <c r="B164">
        <f>IF($A164="","",9)</f>
      </c>
      <c r="C164">
        <f>IF($A164="","",'게임기록'!$N$53)</f>
      </c>
      <c r="D164">
        <f>IF($A164="","",'게임기록'!$O$53)</f>
      </c>
      <c r="E164">
        <f>IF($A164="","",'게임기록'!$P$53)</f>
      </c>
      <c r="F164">
        <f>IF($A164="","",'게임기록'!$Q$53)</f>
      </c>
      <c r="G164">
        <f>IF($A164="","",'게임기록'!$O$53+'게임기록'!$P$53+'게임기록'!$Q$53)</f>
      </c>
    </row>
    <row r="165" spans="1:7" x14ac:dyDescent="0.25">
      <c r="A165">
        <f>IF(AND('게임기록'!$N$54&lt;&gt;"",'게임기록'!$O$54+'게임기록'!$P$54+'게임기록'!$Q$54&gt;0),'게임기록'!$B$1,"")</f>
      </c>
      <c r="B165">
        <f>IF($A165="","",9)</f>
      </c>
      <c r="C165">
        <f>IF($A165="","",'게임기록'!$N$54)</f>
      </c>
      <c r="D165">
        <f>IF($A165="","",'게임기록'!$O$54)</f>
      </c>
      <c r="E165">
        <f>IF($A165="","",'게임기록'!$P$54)</f>
      </c>
      <c r="F165">
        <f>IF($A165="","",'게임기록'!$Q$54)</f>
      </c>
      <c r="G165">
        <f>IF($A165="","",'게임기록'!$O$54+'게임기록'!$P$54+'게임기록'!$Q$54)</f>
      </c>
    </row>
    <row r="166" spans="1:7" x14ac:dyDescent="0.25">
      <c r="A166">
        <f>IF(AND('게임기록'!$N$55&lt;&gt;"",'게임기록'!$O$55+'게임기록'!$P$55+'게임기록'!$Q$55&gt;0),'게임기록'!$B$1,"")</f>
      </c>
      <c r="B166">
        <f>IF($A166="","",9)</f>
      </c>
      <c r="C166">
        <f>IF($A166="","",'게임기록'!$N$55)</f>
      </c>
      <c r="D166">
        <f>IF($A166="","",'게임기록'!$O$55)</f>
      </c>
      <c r="E166">
        <f>IF($A166="","",'게임기록'!$P$55)</f>
      </c>
      <c r="F166">
        <f>IF($A166="","",'게임기록'!$Q$55)</f>
      </c>
      <c r="G166">
        <f>IF($A166="","",'게임기록'!$O$55+'게임기록'!$P$55+'게임기록'!$Q$55)</f>
      </c>
    </row>
    <row r="167" spans="1:7" x14ac:dyDescent="0.25">
      <c r="A167">
        <f>IF(AND('게임기록'!$N$56&lt;&gt;"",'게임기록'!$O$56+'게임기록'!$P$56+'게임기록'!$Q$56&gt;0),'게임기록'!$B$1,"")</f>
      </c>
      <c r="B167">
        <f>IF($A167="","",9)</f>
      </c>
      <c r="C167">
        <f>IF($A167="","",'게임기록'!$N$56)</f>
      </c>
      <c r="D167">
        <f>IF($A167="","",'게임기록'!$O$56)</f>
      </c>
      <c r="E167">
        <f>IF($A167="","",'게임기록'!$P$56)</f>
      </c>
      <c r="F167">
        <f>IF($A167="","",'게임기록'!$Q$56)</f>
      </c>
      <c r="G167">
        <f>IF($A167="","",'게임기록'!$O$56+'게임기록'!$P$56+'게임기록'!$Q$56)</f>
      </c>
    </row>
    <row r="168" spans="1:7" x14ac:dyDescent="0.25">
      <c r="A168">
        <f>IF(AND('게임기록'!$N$57&lt;&gt;"",'게임기록'!$O$57+'게임기록'!$P$57+'게임기록'!$Q$57&gt;0),'게임기록'!$B$1,"")</f>
      </c>
      <c r="B168">
        <f>IF($A168="","",9)</f>
      </c>
      <c r="C168">
        <f>IF($A168="","",'게임기록'!$N$57)</f>
      </c>
      <c r="D168">
        <f>IF($A168="","",'게임기록'!$O$57)</f>
      </c>
      <c r="E168">
        <f>IF($A168="","",'게임기록'!$P$57)</f>
      </c>
      <c r="F168">
        <f>IF($A168="","",'게임기록'!$Q$57)</f>
      </c>
      <c r="G168">
        <f>IF($A168="","",'게임기록'!$O$57+'게임기록'!$P$57+'게임기록'!$Q$57)</f>
      </c>
    </row>
    <row r="169" spans="1:7" x14ac:dyDescent="0.25">
      <c r="A169">
        <f>IF(AND('게임기록'!$N$58&lt;&gt;"",'게임기록'!$O$58+'게임기록'!$P$58+'게임기록'!$Q$58&gt;0),'게임기록'!$B$1,"")</f>
      </c>
      <c r="B169">
        <f>IF($A169="","",9)</f>
      </c>
      <c r="C169">
        <f>IF($A169="","",'게임기록'!$N$58)</f>
      </c>
      <c r="D169">
        <f>IF($A169="","",'게임기록'!$O$58)</f>
      </c>
      <c r="E169">
        <f>IF($A169="","",'게임기록'!$P$58)</f>
      </c>
      <c r="F169">
        <f>IF($A169="","",'게임기록'!$Q$58)</f>
      </c>
      <c r="G169">
        <f>IF($A169="","",'게임기록'!$O$58+'게임기록'!$P$58+'게임기록'!$Q$58)</f>
      </c>
    </row>
    <row r="170" spans="1:7" x14ac:dyDescent="0.25">
      <c r="A170">
        <f>IF(AND('게임기록'!$N$59&lt;&gt;"",'게임기록'!$O$59+'게임기록'!$P$59+'게임기록'!$Q$59&gt;0),'게임기록'!$B$1,"")</f>
      </c>
      <c r="B170">
        <f>IF($A170="","",9)</f>
      </c>
      <c r="C170">
        <f>IF($A170="","",'게임기록'!$N$59)</f>
      </c>
      <c r="D170">
        <f>IF($A170="","",'게임기록'!$O$59)</f>
      </c>
      <c r="E170">
        <f>IF($A170="","",'게임기록'!$P$59)</f>
      </c>
      <c r="F170">
        <f>IF($A170="","",'게임기록'!$Q$59)</f>
      </c>
      <c r="G170">
        <f>IF($A170="","",'게임기록'!$O$59+'게임기록'!$P$59+'게임기록'!$Q$59)</f>
      </c>
    </row>
    <row r="171" spans="1:7" x14ac:dyDescent="0.25">
      <c r="A171">
        <f>IF(AND('게임기록'!$N$60&lt;&gt;"",'게임기록'!$O$60+'게임기록'!$P$60+'게임기록'!$Q$60&gt;0),'게임기록'!$B$1,"")</f>
      </c>
      <c r="B171">
        <f>IF($A171="","",9)</f>
      </c>
      <c r="C171">
        <f>IF($A171="","",'게임기록'!$N$60)</f>
      </c>
      <c r="D171">
        <f>IF($A171="","",'게임기록'!$O$60)</f>
      </c>
      <c r="E171">
        <f>IF($A171="","",'게임기록'!$P$60)</f>
      </c>
      <c r="F171">
        <f>IF($A171="","",'게임기록'!$Q$60)</f>
      </c>
      <c r="G171">
        <f>IF($A171="","",'게임기록'!$O$60+'게임기록'!$P$60+'게임기록'!$Q$60)</f>
      </c>
    </row>
    <row r="172" spans="1:7" x14ac:dyDescent="0.25">
      <c r="A172">
        <f>IF(AND('게임기록'!$N$61&lt;&gt;"",'게임기록'!$O$61+'게임기록'!$P$61+'게임기록'!$Q$61&gt;0),'게임기록'!$B$1,"")</f>
      </c>
      <c r="B172">
        <f>IF($A172="","",9)</f>
      </c>
      <c r="C172">
        <f>IF($A172="","",'게임기록'!$N$61)</f>
      </c>
      <c r="D172">
        <f>IF($A172="","",'게임기록'!$O$61)</f>
      </c>
      <c r="E172">
        <f>IF($A172="","",'게임기록'!$P$61)</f>
      </c>
      <c r="F172">
        <f>IF($A172="","",'게임기록'!$Q$61)</f>
      </c>
      <c r="G172">
        <f>IF($A172="","",'게임기록'!$O$61+'게임기록'!$P$61+'게임기록'!$Q$61)</f>
      </c>
    </row>
    <row r="173" spans="1:7" x14ac:dyDescent="0.25">
      <c r="A173">
        <f>IF(AND('게임기록'!$N$62&lt;&gt;"",'게임기록'!$O$62+'게임기록'!$P$62+'게임기록'!$Q$62&gt;0),'게임기록'!$B$1,"")</f>
      </c>
      <c r="B173">
        <f>IF($A173="","",9)</f>
      </c>
      <c r="C173">
        <f>IF($A173="","",'게임기록'!$N$62)</f>
      </c>
      <c r="D173">
        <f>IF($A173="","",'게임기록'!$O$62)</f>
      </c>
      <c r="E173">
        <f>IF($A173="","",'게임기록'!$P$62)</f>
      </c>
      <c r="F173">
        <f>IF($A173="","",'게임기록'!$Q$62)</f>
      </c>
      <c r="G173">
        <f>IF($A173="","",'게임기록'!$O$62+'게임기록'!$P$62+'게임기록'!$Q$62)</f>
      </c>
    </row>
    <row r="174" spans="1:7" x14ac:dyDescent="0.25">
      <c r="A174">
        <f>IF(AND('게임기록'!$N$63&lt;&gt;"",'게임기록'!$O$63+'게임기록'!$P$63+'게임기록'!$Q$63&gt;0),'게임기록'!$B$1,"")</f>
      </c>
      <c r="B174">
        <f>IF($A174="","",9)</f>
      </c>
      <c r="C174">
        <f>IF($A174="","",'게임기록'!$N$63)</f>
      </c>
      <c r="D174">
        <f>IF($A174="","",'게임기록'!$O$63)</f>
      </c>
      <c r="E174">
        <f>IF($A174="","",'게임기록'!$P$63)</f>
      </c>
      <c r="F174">
        <f>IF($A174="","",'게임기록'!$Q$63)</f>
      </c>
      <c r="G174">
        <f>IF($A174="","",'게임기록'!$O$63+'게임기록'!$P$63+'게임기록'!$Q$63)</f>
      </c>
    </row>
    <row r="175" spans="1:7" x14ac:dyDescent="0.25">
      <c r="A175">
        <f>IF(AND('게임기록'!$N$64&lt;&gt;"",'게임기록'!$O$64+'게임기록'!$P$64+'게임기록'!$Q$64&gt;0),'게임기록'!$B$1,"")</f>
      </c>
      <c r="B175">
        <f>IF($A175="","",9)</f>
      </c>
      <c r="C175">
        <f>IF($A175="","",'게임기록'!$N$64)</f>
      </c>
      <c r="D175">
        <f>IF($A175="","",'게임기록'!$O$64)</f>
      </c>
      <c r="E175">
        <f>IF($A175="","",'게임기록'!$P$64)</f>
      </c>
      <c r="F175">
        <f>IF($A175="","",'게임기록'!$Q$64)</f>
      </c>
      <c r="G175">
        <f>IF($A175="","",'게임기록'!$O$64+'게임기록'!$P$64+'게임기록'!$Q$64)</f>
      </c>
    </row>
    <row r="176" spans="1:7" x14ac:dyDescent="0.25">
      <c r="A176">
        <f>IF(AND('게임기록'!$N$65&lt;&gt;"",'게임기록'!$O$65+'게임기록'!$P$65+'게임기록'!$Q$65&gt;0),'게임기록'!$B$1,"")</f>
      </c>
      <c r="B176">
        <f>IF($A176="","",9)</f>
      </c>
      <c r="C176">
        <f>IF($A176="","",'게임기록'!$N$65)</f>
      </c>
      <c r="D176">
        <f>IF($A176="","",'게임기록'!$O$65)</f>
      </c>
      <c r="E176">
        <f>IF($A176="","",'게임기록'!$P$65)</f>
      </c>
      <c r="F176">
        <f>IF($A176="","",'게임기록'!$Q$65)</f>
      </c>
      <c r="G176">
        <f>IF($A176="","",'게임기록'!$O$65+'게임기록'!$P$65+'게임기록'!$Q$65)</f>
      </c>
    </row>
    <row r="177" spans="1:7" x14ac:dyDescent="0.25">
      <c r="A177">
        <f>IF(AND('게임기록'!$N$66&lt;&gt;"",'게임기록'!$O$66+'게임기록'!$P$66+'게임기록'!$Q$66&gt;0),'게임기록'!$B$1,"")</f>
      </c>
      <c r="B177">
        <f>IF($A177="","",9)</f>
      </c>
      <c r="C177">
        <f>IF($A177="","",'게임기록'!$N$66)</f>
      </c>
      <c r="D177">
        <f>IF($A177="","",'게임기록'!$O$66)</f>
      </c>
      <c r="E177">
        <f>IF($A177="","",'게임기록'!$P$66)</f>
      </c>
      <c r="F177">
        <f>IF($A177="","",'게임기록'!$Q$66)</f>
      </c>
      <c r="G177">
        <f>IF($A177="","",'게임기록'!$O$66+'게임기록'!$P$66+'게임기록'!$Q$66)</f>
      </c>
    </row>
    <row r="178" spans="1:7" x14ac:dyDescent="0.25">
      <c r="A178">
        <f>IF(AND('게임기록'!$N$67&lt;&gt;"",'게임기록'!$O$67+'게임기록'!$P$67+'게임기록'!$Q$67&gt;0),'게임기록'!$B$1,"")</f>
      </c>
      <c r="B178">
        <f>IF($A178="","",9)</f>
      </c>
      <c r="C178">
        <f>IF($A178="","",'게임기록'!$N$67)</f>
      </c>
      <c r="D178">
        <f>IF($A178="","",'게임기록'!$O$67)</f>
      </c>
      <c r="E178">
        <f>IF($A178="","",'게임기록'!$P$67)</f>
      </c>
      <c r="F178">
        <f>IF($A178="","",'게임기록'!$Q$67)</f>
      </c>
      <c r="G178">
        <f>IF($A178="","",'게임기록'!$O$67+'게임기록'!$P$67+'게임기록'!$Q$67)</f>
      </c>
    </row>
    <row r="179" spans="1:7" x14ac:dyDescent="0.25">
      <c r="A179">
        <f>IF(AND('게임기록'!$N$68&lt;&gt;"",'게임기록'!$O$68+'게임기록'!$P$68+'게임기록'!$Q$68&gt;0),'게임기록'!$B$1,"")</f>
      </c>
      <c r="B179">
        <f>IF($A179="","",9)</f>
      </c>
      <c r="C179">
        <f>IF($A179="","",'게임기록'!$N$68)</f>
      </c>
      <c r="D179">
        <f>IF($A179="","",'게임기록'!$O$68)</f>
      </c>
      <c r="E179">
        <f>IF($A179="","",'게임기록'!$P$68)</f>
      </c>
      <c r="F179">
        <f>IF($A179="","",'게임기록'!$Q$68)</f>
      </c>
      <c r="G179">
        <f>IF($A179="","",'게임기록'!$O$68+'게임기록'!$P$68+'게임기록'!$Q$68)</f>
      </c>
    </row>
    <row r="180" spans="1:7" x14ac:dyDescent="0.25">
      <c r="A180">
        <f>IF(AND('게임기록'!$N$69&lt;&gt;"",'게임기록'!$O$69+'게임기록'!$P$69+'게임기록'!$Q$69&gt;0),'게임기록'!$B$1,"")</f>
      </c>
      <c r="B180">
        <f>IF($A180="","",9)</f>
      </c>
      <c r="C180">
        <f>IF($A180="","",'게임기록'!$N$69)</f>
      </c>
      <c r="D180">
        <f>IF($A180="","",'게임기록'!$O$69)</f>
      </c>
      <c r="E180">
        <f>IF($A180="","",'게임기록'!$P$69)</f>
      </c>
      <c r="F180">
        <f>IF($A180="","",'게임기록'!$Q$69)</f>
      </c>
      <c r="G180">
        <f>IF($A180="","",'게임기록'!$O$69+'게임기록'!$P$69+'게임기록'!$Q$69)</f>
      </c>
    </row>
    <row r="181" spans="1:7" x14ac:dyDescent="0.25">
      <c r="A181">
        <f>IF(AND('게임기록'!$N$70&lt;&gt;"",'게임기록'!$O$70+'게임기록'!$P$70+'게임기록'!$Q$70&gt;0),'게임기록'!$B$1,"")</f>
      </c>
      <c r="B181">
        <f>IF($A181="","",9)</f>
      </c>
      <c r="C181">
        <f>IF($A181="","",'게임기록'!$N$70)</f>
      </c>
      <c r="D181">
        <f>IF($A181="","",'게임기록'!$O$70)</f>
      </c>
      <c r="E181">
        <f>IF($A181="","",'게임기록'!$P$70)</f>
      </c>
      <c r="F181">
        <f>IF($A181="","",'게임기록'!$Q$70)</f>
      </c>
      <c r="G181">
        <f>IF($A181="","",'게임기록'!$O$70+'게임기록'!$P$70+'게임기록'!$Q$70)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</cols>
  <sheetData>
    <row r="1" spans="1:2" x14ac:dyDescent="0.25">
      <c r="A1" s="1" t="s">
        <v>18</v>
      </c>
      <c r="B1" s="2">
        <f>DATE(YEAR(TODAY()),MONTH(TODAY()),1)</f>
      </c>
    </row>
    <row r="2" spans="1:2" x14ac:dyDescent="0.25">
      <c r="A2" s="1" t="s">
        <v>19</v>
      </c>
      <c r="B2" s="2">
        <f>EOMONTH(B1,0)</f>
      </c>
    </row>
    <row r="3" spans="1:4" x14ac:dyDescent="0.25">
      <c r="A3" s="3" t="s">
        <v>20</v>
      </c>
      <c r="B3" s="3"/>
      <c r="C3" s="3"/>
      <c r="D3" s="3"/>
    </row>
    <row r="4" spans="1:4" x14ac:dyDescent="0.25">
      <c r="A4" s="5" t="s">
        <v>21</v>
      </c>
      <c r="B4" s="5" t="s">
        <v>6</v>
      </c>
      <c r="C4" s="5" t="s">
        <v>22</v>
      </c>
      <c r="D4" s="5" t="s">
        <v>23</v>
      </c>
    </row>
    <row r="5" spans="1:14" x14ac:dyDescent="0.25">
      <c r="A5">
        <f>IFERROR(INDEX($N$5:$Q$204,1,1),"")</f>
      </c>
      <c r="B5">
        <f>IFERROR(INDEX($N$5:$Q$204,1,2),"")</f>
      </c>
      <c r="C5">
        <f>IFERROR(INDEX($N$5:$Q$204,1,3),"")</f>
      </c>
      <c r="D5">
        <f>IFERROR(INDEX($N$5:$Q$204,1,4),"")</f>
      </c>
      <c r="H5">
        <f>IF(I5="","",1)</f>
      </c>
      <c r="I5">
        <f>IFERROR(INDEX(_xlfn.UNIQUE(_xlfn.FILTER('기록'!$C$2:$C$181,('기록'!$C$2:$C$181&lt;&gt;"")*('기록'!$A$2:$A$181&gt;=$B$1)*('기록'!$A$2:$A$181&lt;=$B$2))),1),"")</f>
      </c>
      <c r="J5">
        <f>IF(I5="","",SUMIFS('기록'!$G:$G,'기록'!$C:$C,I5,'기록'!$A:$A,"&gt;="&amp;$B$1,'기록'!$A:$A,"&lt;="&amp;$B$2))</f>
      </c>
      <c r="K5">
        <f>IF(I5="","",COUNTA(_xlfn.UNIQUE(_xlfn.FILTER('기록'!$A:$A,(('기록'!$C:$C=I5)*('기록'!$A:$A&gt;=$B$1)*('기록'!$A:$A&lt;=$B$2))))))</f>
      </c>
      <c r="L5">
        <f>IF(I5="","",J5)</f>
      </c>
      <c r="N5">
        <f>_xlfn.SORTBY(H5:L204,L5:L204,-1)</f>
      </c>
    </row>
    <row r="6" spans="1:12" x14ac:dyDescent="0.25">
      <c r="A6">
        <f>IFERROR(INDEX($N$5:$Q$204,2,1),"")</f>
      </c>
      <c r="B6">
        <f>IFERROR(INDEX($N$5:$Q$204,2,2),"")</f>
      </c>
      <c r="C6">
        <f>IFERROR(INDEX($N$5:$Q$204,2,3),"")</f>
      </c>
      <c r="D6">
        <f>IFERROR(INDEX($N$5:$Q$204,2,4),"")</f>
      </c>
      <c r="H6">
        <f>IF(I6="","",2)</f>
      </c>
      <c r="I6">
        <f>IFERROR(INDEX(_xlfn.UNIQUE(_xlfn.FILTER('기록'!$C$2:$C$181,('기록'!$C$2:$C$181&lt;&gt;"")*('기록'!$A$2:$A$181&gt;=$B$1)*('기록'!$A$2:$A$181&lt;=$B$2))),2),"")</f>
      </c>
      <c r="J6">
        <f>IF(I6="","",SUMIFS('기록'!$G:$G,'기록'!$C:$C,I6,'기록'!$A:$A,"&gt;="&amp;$B$1,'기록'!$A:$A,"&lt;="&amp;$B$2))</f>
      </c>
      <c r="K6">
        <f>IF(I6="","",COUNTA(_xlfn.UNIQUE(_xlfn.FILTER('기록'!$A:$A,(('기록'!$C:$C=I6)*('기록'!$A:$A&gt;=$B$1)*('기록'!$A:$A&lt;=$B$2))))))</f>
      </c>
      <c r="L6">
        <f>IF(I6="","",J6)</f>
      </c>
    </row>
    <row r="7" spans="1:12" x14ac:dyDescent="0.25">
      <c r="A7">
        <f>IFERROR(INDEX($N$5:$Q$204,3,1),"")</f>
      </c>
      <c r="B7">
        <f>IFERROR(INDEX($N$5:$Q$204,3,2),"")</f>
      </c>
      <c r="C7">
        <f>IFERROR(INDEX($N$5:$Q$204,3,3),"")</f>
      </c>
      <c r="D7">
        <f>IFERROR(INDEX($N$5:$Q$204,3,4),"")</f>
      </c>
      <c r="H7">
        <f>IF(I7="","",3)</f>
      </c>
      <c r="I7">
        <f>IFERROR(INDEX(_xlfn.UNIQUE(_xlfn.FILTER('기록'!$C$2:$C$181,('기록'!$C$2:$C$181&lt;&gt;"")*('기록'!$A$2:$A$181&gt;=$B$1)*('기록'!$A$2:$A$181&lt;=$B$2))),3),"")</f>
      </c>
      <c r="J7">
        <f>IF(I7="","",SUMIFS('기록'!$G:$G,'기록'!$C:$C,I7,'기록'!$A:$A,"&gt;="&amp;$B$1,'기록'!$A:$A,"&lt;="&amp;$B$2))</f>
      </c>
      <c r="K7">
        <f>IF(I7="","",COUNTA(_xlfn.UNIQUE(_xlfn.FILTER('기록'!$A:$A,(('기록'!$C:$C=I7)*('기록'!$A:$A&gt;=$B$1)*('기록'!$A:$A&lt;=$B$2))))))</f>
      </c>
      <c r="L7">
        <f>IF(I7="","",J7)</f>
      </c>
    </row>
    <row r="8" spans="1:12" x14ac:dyDescent="0.25">
      <c r="A8">
        <f>IFERROR(INDEX($N$5:$Q$204,4,1),"")</f>
      </c>
      <c r="B8">
        <f>IFERROR(INDEX($N$5:$Q$204,4,2),"")</f>
      </c>
      <c r="C8">
        <f>IFERROR(INDEX($N$5:$Q$204,4,3),"")</f>
      </c>
      <c r="D8">
        <f>IFERROR(INDEX($N$5:$Q$204,4,4),"")</f>
      </c>
      <c r="H8">
        <f>IF(I8="","",4)</f>
      </c>
      <c r="I8">
        <f>IFERROR(INDEX(_xlfn.UNIQUE(_xlfn.FILTER('기록'!$C$2:$C$181,('기록'!$C$2:$C$181&lt;&gt;"")*('기록'!$A$2:$A$181&gt;=$B$1)*('기록'!$A$2:$A$181&lt;=$B$2))),4),"")</f>
      </c>
      <c r="J8">
        <f>IF(I8="","",SUMIFS('기록'!$G:$G,'기록'!$C:$C,I8,'기록'!$A:$A,"&gt;="&amp;$B$1,'기록'!$A:$A,"&lt;="&amp;$B$2))</f>
      </c>
      <c r="K8">
        <f>IF(I8="","",COUNTA(_xlfn.UNIQUE(_xlfn.FILTER('기록'!$A:$A,(('기록'!$C:$C=I8)*('기록'!$A:$A&gt;=$B$1)*('기록'!$A:$A&lt;=$B$2))))))</f>
      </c>
      <c r="L8">
        <f>IF(I8="","",J8)</f>
      </c>
    </row>
    <row r="9" spans="1:12" x14ac:dyDescent="0.25">
      <c r="A9">
        <f>IFERROR(INDEX($N$5:$Q$204,5,1),"")</f>
      </c>
      <c r="B9">
        <f>IFERROR(INDEX($N$5:$Q$204,5,2),"")</f>
      </c>
      <c r="C9">
        <f>IFERROR(INDEX($N$5:$Q$204,5,3),"")</f>
      </c>
      <c r="D9">
        <f>IFERROR(INDEX($N$5:$Q$204,5,4),"")</f>
      </c>
      <c r="H9">
        <f>IF(I9="","",5)</f>
      </c>
      <c r="I9">
        <f>IFERROR(INDEX(_xlfn.UNIQUE(_xlfn.FILTER('기록'!$C$2:$C$181,('기록'!$C$2:$C$181&lt;&gt;"")*('기록'!$A$2:$A$181&gt;=$B$1)*('기록'!$A$2:$A$181&lt;=$B$2))),5),"")</f>
      </c>
      <c r="J9">
        <f>IF(I9="","",SUMIFS('기록'!$G:$G,'기록'!$C:$C,I9,'기록'!$A:$A,"&gt;="&amp;$B$1,'기록'!$A:$A,"&lt;="&amp;$B$2))</f>
      </c>
      <c r="K9">
        <f>IF(I9="","",COUNTA(_xlfn.UNIQUE(_xlfn.FILTER('기록'!$A:$A,(('기록'!$C:$C=I9)*('기록'!$A:$A&gt;=$B$1)*('기록'!$A:$A&lt;=$B$2))))))</f>
      </c>
      <c r="L9">
        <f>IF(I9="","",J9)</f>
      </c>
    </row>
    <row r="10" spans="1:12" x14ac:dyDescent="0.25">
      <c r="A10">
        <f>IFERROR(INDEX($N$5:$Q$204,6,1),"")</f>
      </c>
      <c r="B10">
        <f>IFERROR(INDEX($N$5:$Q$204,6,2),"")</f>
      </c>
      <c r="C10">
        <f>IFERROR(INDEX($N$5:$Q$204,6,3),"")</f>
      </c>
      <c r="D10">
        <f>IFERROR(INDEX($N$5:$Q$204,6,4),"")</f>
      </c>
      <c r="H10">
        <f>IF(I10="","",6)</f>
      </c>
      <c r="I10">
        <f>IFERROR(INDEX(_xlfn.UNIQUE(_xlfn.FILTER('기록'!$C$2:$C$181,('기록'!$C$2:$C$181&lt;&gt;"")*('기록'!$A$2:$A$181&gt;=$B$1)*('기록'!$A$2:$A$181&lt;=$B$2))),6),"")</f>
      </c>
      <c r="J10">
        <f>IF(I10="","",SUMIFS('기록'!$G:$G,'기록'!$C:$C,I10,'기록'!$A:$A,"&gt;="&amp;$B$1,'기록'!$A:$A,"&lt;="&amp;$B$2))</f>
      </c>
      <c r="K10">
        <f>IF(I10="","",COUNTA(_xlfn.UNIQUE(_xlfn.FILTER('기록'!$A:$A,(('기록'!$C:$C=I10)*('기록'!$A:$A&gt;=$B$1)*('기록'!$A:$A&lt;=$B$2))))))</f>
      </c>
      <c r="L10">
        <f>IF(I10="","",J10)</f>
      </c>
    </row>
    <row r="11" spans="1:12" x14ac:dyDescent="0.25">
      <c r="A11">
        <f>IFERROR(INDEX($N$5:$Q$204,7,1),"")</f>
      </c>
      <c r="B11">
        <f>IFERROR(INDEX($N$5:$Q$204,7,2),"")</f>
      </c>
      <c r="C11">
        <f>IFERROR(INDEX($N$5:$Q$204,7,3),"")</f>
      </c>
      <c r="D11">
        <f>IFERROR(INDEX($N$5:$Q$204,7,4),"")</f>
      </c>
      <c r="H11">
        <f>IF(I11="","",7)</f>
      </c>
      <c r="I11">
        <f>IFERROR(INDEX(_xlfn.UNIQUE(_xlfn.FILTER('기록'!$C$2:$C$181,('기록'!$C$2:$C$181&lt;&gt;"")*('기록'!$A$2:$A$181&gt;=$B$1)*('기록'!$A$2:$A$181&lt;=$B$2))),7),"")</f>
      </c>
      <c r="J11">
        <f>IF(I11="","",SUMIFS('기록'!$G:$G,'기록'!$C:$C,I11,'기록'!$A:$A,"&gt;="&amp;$B$1,'기록'!$A:$A,"&lt;="&amp;$B$2))</f>
      </c>
      <c r="K11">
        <f>IF(I11="","",COUNTA(_xlfn.UNIQUE(_xlfn.FILTER('기록'!$A:$A,(('기록'!$C:$C=I11)*('기록'!$A:$A&gt;=$B$1)*('기록'!$A:$A&lt;=$B$2))))))</f>
      </c>
      <c r="L11">
        <f>IF(I11="","",J11)</f>
      </c>
    </row>
    <row r="12" spans="1:12" x14ac:dyDescent="0.25">
      <c r="A12">
        <f>IFERROR(INDEX($N$5:$Q$204,8,1),"")</f>
      </c>
      <c r="B12">
        <f>IFERROR(INDEX($N$5:$Q$204,8,2),"")</f>
      </c>
      <c r="C12">
        <f>IFERROR(INDEX($N$5:$Q$204,8,3),"")</f>
      </c>
      <c r="D12">
        <f>IFERROR(INDEX($N$5:$Q$204,8,4),"")</f>
      </c>
      <c r="H12">
        <f>IF(I12="","",8)</f>
      </c>
      <c r="I12">
        <f>IFERROR(INDEX(_xlfn.UNIQUE(_xlfn.FILTER('기록'!$C$2:$C$181,('기록'!$C$2:$C$181&lt;&gt;"")*('기록'!$A$2:$A$181&gt;=$B$1)*('기록'!$A$2:$A$181&lt;=$B$2))),8),"")</f>
      </c>
      <c r="J12">
        <f>IF(I12="","",SUMIFS('기록'!$G:$G,'기록'!$C:$C,I12,'기록'!$A:$A,"&gt;="&amp;$B$1,'기록'!$A:$A,"&lt;="&amp;$B$2))</f>
      </c>
      <c r="K12">
        <f>IF(I12="","",COUNTA(_xlfn.UNIQUE(_xlfn.FILTER('기록'!$A:$A,(('기록'!$C:$C=I12)*('기록'!$A:$A&gt;=$B$1)*('기록'!$A:$A&lt;=$B$2))))))</f>
      </c>
      <c r="L12">
        <f>IF(I12="","",J12)</f>
      </c>
    </row>
    <row r="13" spans="1:12" x14ac:dyDescent="0.25">
      <c r="A13">
        <f>IFERROR(INDEX($N$5:$Q$204,9,1),"")</f>
      </c>
      <c r="B13">
        <f>IFERROR(INDEX($N$5:$Q$204,9,2),"")</f>
      </c>
      <c r="C13">
        <f>IFERROR(INDEX($N$5:$Q$204,9,3),"")</f>
      </c>
      <c r="D13">
        <f>IFERROR(INDEX($N$5:$Q$204,9,4),"")</f>
      </c>
      <c r="H13">
        <f>IF(I13="","",9)</f>
      </c>
      <c r="I13">
        <f>IFERROR(INDEX(_xlfn.UNIQUE(_xlfn.FILTER('기록'!$C$2:$C$181,('기록'!$C$2:$C$181&lt;&gt;"")*('기록'!$A$2:$A$181&gt;=$B$1)*('기록'!$A$2:$A$181&lt;=$B$2))),9),"")</f>
      </c>
      <c r="J13">
        <f>IF(I13="","",SUMIFS('기록'!$G:$G,'기록'!$C:$C,I13,'기록'!$A:$A,"&gt;="&amp;$B$1,'기록'!$A:$A,"&lt;="&amp;$B$2))</f>
      </c>
      <c r="K13">
        <f>IF(I13="","",COUNTA(_xlfn.UNIQUE(_xlfn.FILTER('기록'!$A:$A,(('기록'!$C:$C=I13)*('기록'!$A:$A&gt;=$B$1)*('기록'!$A:$A&lt;=$B$2))))))</f>
      </c>
      <c r="L13">
        <f>IF(I13="","",J13)</f>
      </c>
    </row>
    <row r="14" spans="1:12" x14ac:dyDescent="0.25">
      <c r="A14">
        <f>IFERROR(INDEX($N$5:$Q$204,10,1),"")</f>
      </c>
      <c r="B14">
        <f>IFERROR(INDEX($N$5:$Q$204,10,2),"")</f>
      </c>
      <c r="C14">
        <f>IFERROR(INDEX($N$5:$Q$204,10,3),"")</f>
      </c>
      <c r="D14">
        <f>IFERROR(INDEX($N$5:$Q$204,10,4),"")</f>
      </c>
      <c r="H14">
        <f>IF(I14="","",10)</f>
      </c>
      <c r="I14">
        <f>IFERROR(INDEX(_xlfn.UNIQUE(_xlfn.FILTER('기록'!$C$2:$C$181,('기록'!$C$2:$C$181&lt;&gt;"")*('기록'!$A$2:$A$181&gt;=$B$1)*('기록'!$A$2:$A$181&lt;=$B$2))),10),"")</f>
      </c>
      <c r="J14">
        <f>IF(I14="","",SUMIFS('기록'!$G:$G,'기록'!$C:$C,I14,'기록'!$A:$A,"&gt;="&amp;$B$1,'기록'!$A:$A,"&lt;="&amp;$B$2))</f>
      </c>
      <c r="K14">
        <f>IF(I14="","",COUNTA(_xlfn.UNIQUE(_xlfn.FILTER('기록'!$A:$A,(('기록'!$C:$C=I14)*('기록'!$A:$A&gt;=$B$1)*('기록'!$A:$A&lt;=$B$2))))))</f>
      </c>
      <c r="L14">
        <f>IF(I14="","",J14)</f>
      </c>
    </row>
    <row r="15" spans="1:12" x14ac:dyDescent="0.25">
      <c r="A15">
        <f>IFERROR(INDEX($N$5:$Q$204,11,1),"")</f>
      </c>
      <c r="B15">
        <f>IFERROR(INDEX($N$5:$Q$204,11,2),"")</f>
      </c>
      <c r="C15">
        <f>IFERROR(INDEX($N$5:$Q$204,11,3),"")</f>
      </c>
      <c r="D15">
        <f>IFERROR(INDEX($N$5:$Q$204,11,4),"")</f>
      </c>
      <c r="H15">
        <f>IF(I15="","",11)</f>
      </c>
      <c r="I15">
        <f>IFERROR(INDEX(_xlfn.UNIQUE(_xlfn.FILTER('기록'!$C$2:$C$181,('기록'!$C$2:$C$181&lt;&gt;"")*('기록'!$A$2:$A$181&gt;=$B$1)*('기록'!$A$2:$A$181&lt;=$B$2))),11),"")</f>
      </c>
      <c r="J15">
        <f>IF(I15="","",SUMIFS('기록'!$G:$G,'기록'!$C:$C,I15,'기록'!$A:$A,"&gt;="&amp;$B$1,'기록'!$A:$A,"&lt;="&amp;$B$2))</f>
      </c>
      <c r="K15">
        <f>IF(I15="","",COUNTA(_xlfn.UNIQUE(_xlfn.FILTER('기록'!$A:$A,(('기록'!$C:$C=I15)*('기록'!$A:$A&gt;=$B$1)*('기록'!$A:$A&lt;=$B$2))))))</f>
      </c>
      <c r="L15">
        <f>IF(I15="","",J15)</f>
      </c>
    </row>
    <row r="16" spans="1:12" x14ac:dyDescent="0.25">
      <c r="A16">
        <f>IFERROR(INDEX($N$5:$Q$204,12,1),"")</f>
      </c>
      <c r="B16">
        <f>IFERROR(INDEX($N$5:$Q$204,12,2),"")</f>
      </c>
      <c r="C16">
        <f>IFERROR(INDEX($N$5:$Q$204,12,3),"")</f>
      </c>
      <c r="D16">
        <f>IFERROR(INDEX($N$5:$Q$204,12,4),"")</f>
      </c>
      <c r="H16">
        <f>IF(I16="","",12)</f>
      </c>
      <c r="I16">
        <f>IFERROR(INDEX(_xlfn.UNIQUE(_xlfn.FILTER('기록'!$C$2:$C$181,('기록'!$C$2:$C$181&lt;&gt;"")*('기록'!$A$2:$A$181&gt;=$B$1)*('기록'!$A$2:$A$181&lt;=$B$2))),12),"")</f>
      </c>
      <c r="J16">
        <f>IF(I16="","",SUMIFS('기록'!$G:$G,'기록'!$C:$C,I16,'기록'!$A:$A,"&gt;="&amp;$B$1,'기록'!$A:$A,"&lt;="&amp;$B$2))</f>
      </c>
      <c r="K16">
        <f>IF(I16="","",COUNTA(_xlfn.UNIQUE(_xlfn.FILTER('기록'!$A:$A,(('기록'!$C:$C=I16)*('기록'!$A:$A&gt;=$B$1)*('기록'!$A:$A&lt;=$B$2))))))</f>
      </c>
      <c r="L16">
        <f>IF(I16="","",J16)</f>
      </c>
    </row>
    <row r="17" spans="1:12" x14ac:dyDescent="0.25">
      <c r="A17">
        <f>IFERROR(INDEX($N$5:$Q$204,13,1),"")</f>
      </c>
      <c r="B17">
        <f>IFERROR(INDEX($N$5:$Q$204,13,2),"")</f>
      </c>
      <c r="C17">
        <f>IFERROR(INDEX($N$5:$Q$204,13,3),"")</f>
      </c>
      <c r="D17">
        <f>IFERROR(INDEX($N$5:$Q$204,13,4),"")</f>
      </c>
      <c r="H17">
        <f>IF(I17="","",13)</f>
      </c>
      <c r="I17">
        <f>IFERROR(INDEX(_xlfn.UNIQUE(_xlfn.FILTER('기록'!$C$2:$C$181,('기록'!$C$2:$C$181&lt;&gt;"")*('기록'!$A$2:$A$181&gt;=$B$1)*('기록'!$A$2:$A$181&lt;=$B$2))),13),"")</f>
      </c>
      <c r="J17">
        <f>IF(I17="","",SUMIFS('기록'!$G:$G,'기록'!$C:$C,I17,'기록'!$A:$A,"&gt;="&amp;$B$1,'기록'!$A:$A,"&lt;="&amp;$B$2))</f>
      </c>
      <c r="K17">
        <f>IF(I17="","",COUNTA(_xlfn.UNIQUE(_xlfn.FILTER('기록'!$A:$A,(('기록'!$C:$C=I17)*('기록'!$A:$A&gt;=$B$1)*('기록'!$A:$A&lt;=$B$2))))))</f>
      </c>
      <c r="L17">
        <f>IF(I17="","",J17)</f>
      </c>
    </row>
    <row r="18" spans="1:12" x14ac:dyDescent="0.25">
      <c r="A18">
        <f>IFERROR(INDEX($N$5:$Q$204,14,1),"")</f>
      </c>
      <c r="B18">
        <f>IFERROR(INDEX($N$5:$Q$204,14,2),"")</f>
      </c>
      <c r="C18">
        <f>IFERROR(INDEX($N$5:$Q$204,14,3),"")</f>
      </c>
      <c r="D18">
        <f>IFERROR(INDEX($N$5:$Q$204,14,4),"")</f>
      </c>
      <c r="H18">
        <f>IF(I18="","",14)</f>
      </c>
      <c r="I18">
        <f>IFERROR(INDEX(_xlfn.UNIQUE(_xlfn.FILTER('기록'!$C$2:$C$181,('기록'!$C$2:$C$181&lt;&gt;"")*('기록'!$A$2:$A$181&gt;=$B$1)*('기록'!$A$2:$A$181&lt;=$B$2))),14),"")</f>
      </c>
      <c r="J18">
        <f>IF(I18="","",SUMIFS('기록'!$G:$G,'기록'!$C:$C,I18,'기록'!$A:$A,"&gt;="&amp;$B$1,'기록'!$A:$A,"&lt;="&amp;$B$2))</f>
      </c>
      <c r="K18">
        <f>IF(I18="","",COUNTA(_xlfn.UNIQUE(_xlfn.FILTER('기록'!$A:$A,(('기록'!$C:$C=I18)*('기록'!$A:$A&gt;=$B$1)*('기록'!$A:$A&lt;=$B$2))))))</f>
      </c>
      <c r="L18">
        <f>IF(I18="","",J18)</f>
      </c>
    </row>
    <row r="19" spans="1:12" x14ac:dyDescent="0.25">
      <c r="A19">
        <f>IFERROR(INDEX($N$5:$Q$204,15,1),"")</f>
      </c>
      <c r="B19">
        <f>IFERROR(INDEX($N$5:$Q$204,15,2),"")</f>
      </c>
      <c r="C19">
        <f>IFERROR(INDEX($N$5:$Q$204,15,3),"")</f>
      </c>
      <c r="D19">
        <f>IFERROR(INDEX($N$5:$Q$204,15,4),"")</f>
      </c>
      <c r="H19">
        <f>IF(I19="","",15)</f>
      </c>
      <c r="I19">
        <f>IFERROR(INDEX(_xlfn.UNIQUE(_xlfn.FILTER('기록'!$C$2:$C$181,('기록'!$C$2:$C$181&lt;&gt;"")*('기록'!$A$2:$A$181&gt;=$B$1)*('기록'!$A$2:$A$181&lt;=$B$2))),15),"")</f>
      </c>
      <c r="J19">
        <f>IF(I19="","",SUMIFS('기록'!$G:$G,'기록'!$C:$C,I19,'기록'!$A:$A,"&gt;="&amp;$B$1,'기록'!$A:$A,"&lt;="&amp;$B$2))</f>
      </c>
      <c r="K19">
        <f>IF(I19="","",COUNTA(_xlfn.UNIQUE(_xlfn.FILTER('기록'!$A:$A,(('기록'!$C:$C=I19)*('기록'!$A:$A&gt;=$B$1)*('기록'!$A:$A&lt;=$B$2))))))</f>
      </c>
      <c r="L19">
        <f>IF(I19="","",J19)</f>
      </c>
    </row>
    <row r="20" spans="1:12" x14ac:dyDescent="0.25">
      <c r="A20">
        <f>IFERROR(INDEX($N$5:$Q$204,16,1),"")</f>
      </c>
      <c r="B20">
        <f>IFERROR(INDEX($N$5:$Q$204,16,2),"")</f>
      </c>
      <c r="C20">
        <f>IFERROR(INDEX($N$5:$Q$204,16,3),"")</f>
      </c>
      <c r="D20">
        <f>IFERROR(INDEX($N$5:$Q$204,16,4),"")</f>
      </c>
      <c r="H20">
        <f>IF(I20="","",16)</f>
      </c>
      <c r="I20">
        <f>IFERROR(INDEX(_xlfn.UNIQUE(_xlfn.FILTER('기록'!$C$2:$C$181,('기록'!$C$2:$C$181&lt;&gt;"")*('기록'!$A$2:$A$181&gt;=$B$1)*('기록'!$A$2:$A$181&lt;=$B$2))),16),"")</f>
      </c>
      <c r="J20">
        <f>IF(I20="","",SUMIFS('기록'!$G:$G,'기록'!$C:$C,I20,'기록'!$A:$A,"&gt;="&amp;$B$1,'기록'!$A:$A,"&lt;="&amp;$B$2))</f>
      </c>
      <c r="K20">
        <f>IF(I20="","",COUNTA(_xlfn.UNIQUE(_xlfn.FILTER('기록'!$A:$A,(('기록'!$C:$C=I20)*('기록'!$A:$A&gt;=$B$1)*('기록'!$A:$A&lt;=$B$2))))))</f>
      </c>
      <c r="L20">
        <f>IF(I20="","",J20)</f>
      </c>
    </row>
    <row r="21" spans="1:12" x14ac:dyDescent="0.25">
      <c r="A21">
        <f>IFERROR(INDEX($N$5:$Q$204,17,1),"")</f>
      </c>
      <c r="B21">
        <f>IFERROR(INDEX($N$5:$Q$204,17,2),"")</f>
      </c>
      <c r="C21">
        <f>IFERROR(INDEX($N$5:$Q$204,17,3),"")</f>
      </c>
      <c r="D21">
        <f>IFERROR(INDEX($N$5:$Q$204,17,4),"")</f>
      </c>
      <c r="H21">
        <f>IF(I21="","",17)</f>
      </c>
      <c r="I21">
        <f>IFERROR(INDEX(_xlfn.UNIQUE(_xlfn.FILTER('기록'!$C$2:$C$181,('기록'!$C$2:$C$181&lt;&gt;"")*('기록'!$A$2:$A$181&gt;=$B$1)*('기록'!$A$2:$A$181&lt;=$B$2))),17),"")</f>
      </c>
      <c r="J21">
        <f>IF(I21="","",SUMIFS('기록'!$G:$G,'기록'!$C:$C,I21,'기록'!$A:$A,"&gt;="&amp;$B$1,'기록'!$A:$A,"&lt;="&amp;$B$2))</f>
      </c>
      <c r="K21">
        <f>IF(I21="","",COUNTA(_xlfn.UNIQUE(_xlfn.FILTER('기록'!$A:$A,(('기록'!$C:$C=I21)*('기록'!$A:$A&gt;=$B$1)*('기록'!$A:$A&lt;=$B$2))))))</f>
      </c>
      <c r="L21">
        <f>IF(I21="","",J21)</f>
      </c>
    </row>
    <row r="22" spans="1:12" x14ac:dyDescent="0.25">
      <c r="A22">
        <f>IFERROR(INDEX($N$5:$Q$204,18,1),"")</f>
      </c>
      <c r="B22">
        <f>IFERROR(INDEX($N$5:$Q$204,18,2),"")</f>
      </c>
      <c r="C22">
        <f>IFERROR(INDEX($N$5:$Q$204,18,3),"")</f>
      </c>
      <c r="D22">
        <f>IFERROR(INDEX($N$5:$Q$204,18,4),"")</f>
      </c>
      <c r="H22">
        <f>IF(I22="","",18)</f>
      </c>
      <c r="I22">
        <f>IFERROR(INDEX(_xlfn.UNIQUE(_xlfn.FILTER('기록'!$C$2:$C$181,('기록'!$C$2:$C$181&lt;&gt;"")*('기록'!$A$2:$A$181&gt;=$B$1)*('기록'!$A$2:$A$181&lt;=$B$2))),18),"")</f>
      </c>
      <c r="J22">
        <f>IF(I22="","",SUMIFS('기록'!$G:$G,'기록'!$C:$C,I22,'기록'!$A:$A,"&gt;="&amp;$B$1,'기록'!$A:$A,"&lt;="&amp;$B$2))</f>
      </c>
      <c r="K22">
        <f>IF(I22="","",COUNTA(_xlfn.UNIQUE(_xlfn.FILTER('기록'!$A:$A,(('기록'!$C:$C=I22)*('기록'!$A:$A&gt;=$B$1)*('기록'!$A:$A&lt;=$B$2))))))</f>
      </c>
      <c r="L22">
        <f>IF(I22="","",J22)</f>
      </c>
    </row>
    <row r="23" spans="1:12" x14ac:dyDescent="0.25">
      <c r="A23">
        <f>IFERROR(INDEX($N$5:$Q$204,19,1),"")</f>
      </c>
      <c r="B23">
        <f>IFERROR(INDEX($N$5:$Q$204,19,2),"")</f>
      </c>
      <c r="C23">
        <f>IFERROR(INDEX($N$5:$Q$204,19,3),"")</f>
      </c>
      <c r="D23">
        <f>IFERROR(INDEX($N$5:$Q$204,19,4),"")</f>
      </c>
      <c r="H23">
        <f>IF(I23="","",19)</f>
      </c>
      <c r="I23">
        <f>IFERROR(INDEX(_xlfn.UNIQUE(_xlfn.FILTER('기록'!$C$2:$C$181,('기록'!$C$2:$C$181&lt;&gt;"")*('기록'!$A$2:$A$181&gt;=$B$1)*('기록'!$A$2:$A$181&lt;=$B$2))),19),"")</f>
      </c>
      <c r="J23">
        <f>IF(I23="","",SUMIFS('기록'!$G:$G,'기록'!$C:$C,I23,'기록'!$A:$A,"&gt;="&amp;$B$1,'기록'!$A:$A,"&lt;="&amp;$B$2))</f>
      </c>
      <c r="K23">
        <f>IF(I23="","",COUNTA(_xlfn.UNIQUE(_xlfn.FILTER('기록'!$A:$A,(('기록'!$C:$C=I23)*('기록'!$A:$A&gt;=$B$1)*('기록'!$A:$A&lt;=$B$2))))))</f>
      </c>
      <c r="L23">
        <f>IF(I23="","",J23)</f>
      </c>
    </row>
    <row r="24" spans="1:12" x14ac:dyDescent="0.25">
      <c r="A24">
        <f>IFERROR(INDEX($N$5:$Q$204,20,1),"")</f>
      </c>
      <c r="B24">
        <f>IFERROR(INDEX($N$5:$Q$204,20,2),"")</f>
      </c>
      <c r="C24">
        <f>IFERROR(INDEX($N$5:$Q$204,20,3),"")</f>
      </c>
      <c r="D24">
        <f>IFERROR(INDEX($N$5:$Q$204,20,4),"")</f>
      </c>
      <c r="H24">
        <f>IF(I24="","",20)</f>
      </c>
      <c r="I24">
        <f>IFERROR(INDEX(_xlfn.UNIQUE(_xlfn.FILTER('기록'!$C$2:$C$181,('기록'!$C$2:$C$181&lt;&gt;"")*('기록'!$A$2:$A$181&gt;=$B$1)*('기록'!$A$2:$A$181&lt;=$B$2))),20),"")</f>
      </c>
      <c r="J24">
        <f>IF(I24="","",SUMIFS('기록'!$G:$G,'기록'!$C:$C,I24,'기록'!$A:$A,"&gt;="&amp;$B$1,'기록'!$A:$A,"&lt;="&amp;$B$2))</f>
      </c>
      <c r="K24">
        <f>IF(I24="","",COUNTA(_xlfn.UNIQUE(_xlfn.FILTER('기록'!$A:$A,(('기록'!$C:$C=I24)*('기록'!$A:$A&gt;=$B$1)*('기록'!$A:$A&lt;=$B$2))))))</f>
      </c>
      <c r="L24">
        <f>IF(I24="","",J24)</f>
      </c>
    </row>
    <row r="25" spans="1:12" x14ac:dyDescent="0.25">
      <c r="A25">
        <f>IFERROR(INDEX($N$5:$Q$204,21,1),"")</f>
      </c>
      <c r="B25">
        <f>IFERROR(INDEX($N$5:$Q$204,21,2),"")</f>
      </c>
      <c r="C25">
        <f>IFERROR(INDEX($N$5:$Q$204,21,3),"")</f>
      </c>
      <c r="D25">
        <f>IFERROR(INDEX($N$5:$Q$204,21,4),"")</f>
      </c>
      <c r="H25">
        <f>IF(I25="","",21)</f>
      </c>
      <c r="I25">
        <f>IFERROR(INDEX(_xlfn.UNIQUE(_xlfn.FILTER('기록'!$C$2:$C$181,('기록'!$C$2:$C$181&lt;&gt;"")*('기록'!$A$2:$A$181&gt;=$B$1)*('기록'!$A$2:$A$181&lt;=$B$2))),21),"")</f>
      </c>
      <c r="J25">
        <f>IF(I25="","",SUMIFS('기록'!$G:$G,'기록'!$C:$C,I25,'기록'!$A:$A,"&gt;="&amp;$B$1,'기록'!$A:$A,"&lt;="&amp;$B$2))</f>
      </c>
      <c r="K25">
        <f>IF(I25="","",COUNTA(_xlfn.UNIQUE(_xlfn.FILTER('기록'!$A:$A,(('기록'!$C:$C=I25)*('기록'!$A:$A&gt;=$B$1)*('기록'!$A:$A&lt;=$B$2))))))</f>
      </c>
      <c r="L25">
        <f>IF(I25="","",J25)</f>
      </c>
    </row>
    <row r="26" spans="1:12" x14ac:dyDescent="0.25">
      <c r="A26">
        <f>IFERROR(INDEX($N$5:$Q$204,22,1),"")</f>
      </c>
      <c r="B26">
        <f>IFERROR(INDEX($N$5:$Q$204,22,2),"")</f>
      </c>
      <c r="C26">
        <f>IFERROR(INDEX($N$5:$Q$204,22,3),"")</f>
      </c>
      <c r="D26">
        <f>IFERROR(INDEX($N$5:$Q$204,22,4),"")</f>
      </c>
      <c r="H26">
        <f>IF(I26="","",22)</f>
      </c>
      <c r="I26">
        <f>IFERROR(INDEX(_xlfn.UNIQUE(_xlfn.FILTER('기록'!$C$2:$C$181,('기록'!$C$2:$C$181&lt;&gt;"")*('기록'!$A$2:$A$181&gt;=$B$1)*('기록'!$A$2:$A$181&lt;=$B$2))),22),"")</f>
      </c>
      <c r="J26">
        <f>IF(I26="","",SUMIFS('기록'!$G:$G,'기록'!$C:$C,I26,'기록'!$A:$A,"&gt;="&amp;$B$1,'기록'!$A:$A,"&lt;="&amp;$B$2))</f>
      </c>
      <c r="K26">
        <f>IF(I26="","",COUNTA(_xlfn.UNIQUE(_xlfn.FILTER('기록'!$A:$A,(('기록'!$C:$C=I26)*('기록'!$A:$A&gt;=$B$1)*('기록'!$A:$A&lt;=$B$2))))))</f>
      </c>
      <c r="L26">
        <f>IF(I26="","",J26)</f>
      </c>
    </row>
    <row r="27" spans="1:12" x14ac:dyDescent="0.25">
      <c r="A27">
        <f>IFERROR(INDEX($N$5:$Q$204,23,1),"")</f>
      </c>
      <c r="B27">
        <f>IFERROR(INDEX($N$5:$Q$204,23,2),"")</f>
      </c>
      <c r="C27">
        <f>IFERROR(INDEX($N$5:$Q$204,23,3),"")</f>
      </c>
      <c r="D27">
        <f>IFERROR(INDEX($N$5:$Q$204,23,4),"")</f>
      </c>
      <c r="H27">
        <f>IF(I27="","",23)</f>
      </c>
      <c r="I27">
        <f>IFERROR(INDEX(_xlfn.UNIQUE(_xlfn.FILTER('기록'!$C$2:$C$181,('기록'!$C$2:$C$181&lt;&gt;"")*('기록'!$A$2:$A$181&gt;=$B$1)*('기록'!$A$2:$A$181&lt;=$B$2))),23),"")</f>
      </c>
      <c r="J27">
        <f>IF(I27="","",SUMIFS('기록'!$G:$G,'기록'!$C:$C,I27,'기록'!$A:$A,"&gt;="&amp;$B$1,'기록'!$A:$A,"&lt;="&amp;$B$2))</f>
      </c>
      <c r="K27">
        <f>IF(I27="","",COUNTA(_xlfn.UNIQUE(_xlfn.FILTER('기록'!$A:$A,(('기록'!$C:$C=I27)*('기록'!$A:$A&gt;=$B$1)*('기록'!$A:$A&lt;=$B$2))))))</f>
      </c>
      <c r="L27">
        <f>IF(I27="","",J27)</f>
      </c>
    </row>
    <row r="28" spans="1:12" x14ac:dyDescent="0.25">
      <c r="A28">
        <f>IFERROR(INDEX($N$5:$Q$204,24,1),"")</f>
      </c>
      <c r="B28">
        <f>IFERROR(INDEX($N$5:$Q$204,24,2),"")</f>
      </c>
      <c r="C28">
        <f>IFERROR(INDEX($N$5:$Q$204,24,3),"")</f>
      </c>
      <c r="D28">
        <f>IFERROR(INDEX($N$5:$Q$204,24,4),"")</f>
      </c>
      <c r="H28">
        <f>IF(I28="","",24)</f>
      </c>
      <c r="I28">
        <f>IFERROR(INDEX(_xlfn.UNIQUE(_xlfn.FILTER('기록'!$C$2:$C$181,('기록'!$C$2:$C$181&lt;&gt;"")*('기록'!$A$2:$A$181&gt;=$B$1)*('기록'!$A$2:$A$181&lt;=$B$2))),24),"")</f>
      </c>
      <c r="J28">
        <f>IF(I28="","",SUMIFS('기록'!$G:$G,'기록'!$C:$C,I28,'기록'!$A:$A,"&gt;="&amp;$B$1,'기록'!$A:$A,"&lt;="&amp;$B$2))</f>
      </c>
      <c r="K28">
        <f>IF(I28="","",COUNTA(_xlfn.UNIQUE(_xlfn.FILTER('기록'!$A:$A,(('기록'!$C:$C=I28)*('기록'!$A:$A&gt;=$B$1)*('기록'!$A:$A&lt;=$B$2))))))</f>
      </c>
      <c r="L28">
        <f>IF(I28="","",J28)</f>
      </c>
    </row>
    <row r="29" spans="1:12" x14ac:dyDescent="0.25">
      <c r="A29">
        <f>IFERROR(INDEX($N$5:$Q$204,25,1),"")</f>
      </c>
      <c r="B29">
        <f>IFERROR(INDEX($N$5:$Q$204,25,2),"")</f>
      </c>
      <c r="C29">
        <f>IFERROR(INDEX($N$5:$Q$204,25,3),"")</f>
      </c>
      <c r="D29">
        <f>IFERROR(INDEX($N$5:$Q$204,25,4),"")</f>
      </c>
      <c r="H29">
        <f>IF(I29="","",25)</f>
      </c>
      <c r="I29">
        <f>IFERROR(INDEX(_xlfn.UNIQUE(_xlfn.FILTER('기록'!$C$2:$C$181,('기록'!$C$2:$C$181&lt;&gt;"")*('기록'!$A$2:$A$181&gt;=$B$1)*('기록'!$A$2:$A$181&lt;=$B$2))),25),"")</f>
      </c>
      <c r="J29">
        <f>IF(I29="","",SUMIFS('기록'!$G:$G,'기록'!$C:$C,I29,'기록'!$A:$A,"&gt;="&amp;$B$1,'기록'!$A:$A,"&lt;="&amp;$B$2))</f>
      </c>
      <c r="K29">
        <f>IF(I29="","",COUNTA(_xlfn.UNIQUE(_xlfn.FILTER('기록'!$A:$A,(('기록'!$C:$C=I29)*('기록'!$A:$A&gt;=$B$1)*('기록'!$A:$A&lt;=$B$2))))))</f>
      </c>
      <c r="L29">
        <f>IF(I29="","",J29)</f>
      </c>
    </row>
    <row r="30" spans="1:12" x14ac:dyDescent="0.25">
      <c r="A30">
        <f>IFERROR(INDEX($N$5:$Q$204,26,1),"")</f>
      </c>
      <c r="B30">
        <f>IFERROR(INDEX($N$5:$Q$204,26,2),"")</f>
      </c>
      <c r="C30">
        <f>IFERROR(INDEX($N$5:$Q$204,26,3),"")</f>
      </c>
      <c r="D30">
        <f>IFERROR(INDEX($N$5:$Q$204,26,4),"")</f>
      </c>
      <c r="H30">
        <f>IF(I30="","",26)</f>
      </c>
      <c r="I30">
        <f>IFERROR(INDEX(_xlfn.UNIQUE(_xlfn.FILTER('기록'!$C$2:$C$181,('기록'!$C$2:$C$181&lt;&gt;"")*('기록'!$A$2:$A$181&gt;=$B$1)*('기록'!$A$2:$A$181&lt;=$B$2))),26),"")</f>
      </c>
      <c r="J30">
        <f>IF(I30="","",SUMIFS('기록'!$G:$G,'기록'!$C:$C,I30,'기록'!$A:$A,"&gt;="&amp;$B$1,'기록'!$A:$A,"&lt;="&amp;$B$2))</f>
      </c>
      <c r="K30">
        <f>IF(I30="","",COUNTA(_xlfn.UNIQUE(_xlfn.FILTER('기록'!$A:$A,(('기록'!$C:$C=I30)*('기록'!$A:$A&gt;=$B$1)*('기록'!$A:$A&lt;=$B$2))))))</f>
      </c>
      <c r="L30">
        <f>IF(I30="","",J30)</f>
      </c>
    </row>
    <row r="31" spans="1:12" x14ac:dyDescent="0.25">
      <c r="A31">
        <f>IFERROR(INDEX($N$5:$Q$204,27,1),"")</f>
      </c>
      <c r="B31">
        <f>IFERROR(INDEX($N$5:$Q$204,27,2),"")</f>
      </c>
      <c r="C31">
        <f>IFERROR(INDEX($N$5:$Q$204,27,3),"")</f>
      </c>
      <c r="D31">
        <f>IFERROR(INDEX($N$5:$Q$204,27,4),"")</f>
      </c>
      <c r="H31">
        <f>IF(I31="","",27)</f>
      </c>
      <c r="I31">
        <f>IFERROR(INDEX(_xlfn.UNIQUE(_xlfn.FILTER('기록'!$C$2:$C$181,('기록'!$C$2:$C$181&lt;&gt;"")*('기록'!$A$2:$A$181&gt;=$B$1)*('기록'!$A$2:$A$181&lt;=$B$2))),27),"")</f>
      </c>
      <c r="J31">
        <f>IF(I31="","",SUMIFS('기록'!$G:$G,'기록'!$C:$C,I31,'기록'!$A:$A,"&gt;="&amp;$B$1,'기록'!$A:$A,"&lt;="&amp;$B$2))</f>
      </c>
      <c r="K31">
        <f>IF(I31="","",COUNTA(_xlfn.UNIQUE(_xlfn.FILTER('기록'!$A:$A,(('기록'!$C:$C=I31)*('기록'!$A:$A&gt;=$B$1)*('기록'!$A:$A&lt;=$B$2))))))</f>
      </c>
      <c r="L31">
        <f>IF(I31="","",J31)</f>
      </c>
    </row>
    <row r="32" spans="1:12" x14ac:dyDescent="0.25">
      <c r="A32">
        <f>IFERROR(INDEX($N$5:$Q$204,28,1),"")</f>
      </c>
      <c r="B32">
        <f>IFERROR(INDEX($N$5:$Q$204,28,2),"")</f>
      </c>
      <c r="C32">
        <f>IFERROR(INDEX($N$5:$Q$204,28,3),"")</f>
      </c>
      <c r="D32">
        <f>IFERROR(INDEX($N$5:$Q$204,28,4),"")</f>
      </c>
      <c r="H32">
        <f>IF(I32="","",28)</f>
      </c>
      <c r="I32">
        <f>IFERROR(INDEX(_xlfn.UNIQUE(_xlfn.FILTER('기록'!$C$2:$C$181,('기록'!$C$2:$C$181&lt;&gt;"")*('기록'!$A$2:$A$181&gt;=$B$1)*('기록'!$A$2:$A$181&lt;=$B$2))),28),"")</f>
      </c>
      <c r="J32">
        <f>IF(I32="","",SUMIFS('기록'!$G:$G,'기록'!$C:$C,I32,'기록'!$A:$A,"&gt;="&amp;$B$1,'기록'!$A:$A,"&lt;="&amp;$B$2))</f>
      </c>
      <c r="K32">
        <f>IF(I32="","",COUNTA(_xlfn.UNIQUE(_xlfn.FILTER('기록'!$A:$A,(('기록'!$C:$C=I32)*('기록'!$A:$A&gt;=$B$1)*('기록'!$A:$A&lt;=$B$2))))))</f>
      </c>
      <c r="L32">
        <f>IF(I32="","",J32)</f>
      </c>
    </row>
    <row r="33" spans="1:12" x14ac:dyDescent="0.25">
      <c r="A33">
        <f>IFERROR(INDEX($N$5:$Q$204,29,1),"")</f>
      </c>
      <c r="B33">
        <f>IFERROR(INDEX($N$5:$Q$204,29,2),"")</f>
      </c>
      <c r="C33">
        <f>IFERROR(INDEX($N$5:$Q$204,29,3),"")</f>
      </c>
      <c r="D33">
        <f>IFERROR(INDEX($N$5:$Q$204,29,4),"")</f>
      </c>
      <c r="H33">
        <f>IF(I33="","",29)</f>
      </c>
      <c r="I33">
        <f>IFERROR(INDEX(_xlfn.UNIQUE(_xlfn.FILTER('기록'!$C$2:$C$181,('기록'!$C$2:$C$181&lt;&gt;"")*('기록'!$A$2:$A$181&gt;=$B$1)*('기록'!$A$2:$A$181&lt;=$B$2))),29),"")</f>
      </c>
      <c r="J33">
        <f>IF(I33="","",SUMIFS('기록'!$G:$G,'기록'!$C:$C,I33,'기록'!$A:$A,"&gt;="&amp;$B$1,'기록'!$A:$A,"&lt;="&amp;$B$2))</f>
      </c>
      <c r="K33">
        <f>IF(I33="","",COUNTA(_xlfn.UNIQUE(_xlfn.FILTER('기록'!$A:$A,(('기록'!$C:$C=I33)*('기록'!$A:$A&gt;=$B$1)*('기록'!$A:$A&lt;=$B$2))))))</f>
      </c>
      <c r="L33">
        <f>IF(I33="","",J33)</f>
      </c>
    </row>
    <row r="34" spans="1:12" x14ac:dyDescent="0.25">
      <c r="A34">
        <f>IFERROR(INDEX($N$5:$Q$204,30,1),"")</f>
      </c>
      <c r="B34">
        <f>IFERROR(INDEX($N$5:$Q$204,30,2),"")</f>
      </c>
      <c r="C34">
        <f>IFERROR(INDEX($N$5:$Q$204,30,3),"")</f>
      </c>
      <c r="D34">
        <f>IFERROR(INDEX($N$5:$Q$204,30,4),"")</f>
      </c>
      <c r="H34">
        <f>IF(I34="","",30)</f>
      </c>
      <c r="I34">
        <f>IFERROR(INDEX(_xlfn.UNIQUE(_xlfn.FILTER('기록'!$C$2:$C$181,('기록'!$C$2:$C$181&lt;&gt;"")*('기록'!$A$2:$A$181&gt;=$B$1)*('기록'!$A$2:$A$181&lt;=$B$2))),30),"")</f>
      </c>
      <c r="J34">
        <f>IF(I34="","",SUMIFS('기록'!$G:$G,'기록'!$C:$C,I34,'기록'!$A:$A,"&gt;="&amp;$B$1,'기록'!$A:$A,"&lt;="&amp;$B$2))</f>
      </c>
      <c r="K34">
        <f>IF(I34="","",COUNTA(_xlfn.UNIQUE(_xlfn.FILTER('기록'!$A:$A,(('기록'!$C:$C=I34)*('기록'!$A:$A&gt;=$B$1)*('기록'!$A:$A&lt;=$B$2))))))</f>
      </c>
      <c r="L34">
        <f>IF(I34="","",J34)</f>
      </c>
    </row>
    <row r="35" spans="1:12" x14ac:dyDescent="0.25">
      <c r="A35">
        <f>IFERROR(INDEX($N$5:$Q$204,31,1),"")</f>
      </c>
      <c r="B35">
        <f>IFERROR(INDEX($N$5:$Q$204,31,2),"")</f>
      </c>
      <c r="C35">
        <f>IFERROR(INDEX($N$5:$Q$204,31,3),"")</f>
      </c>
      <c r="D35">
        <f>IFERROR(INDEX($N$5:$Q$204,31,4),"")</f>
      </c>
      <c r="H35">
        <f>IF(I35="","",31)</f>
      </c>
      <c r="I35">
        <f>IFERROR(INDEX(_xlfn.UNIQUE(_xlfn.FILTER('기록'!$C$2:$C$181,('기록'!$C$2:$C$181&lt;&gt;"")*('기록'!$A$2:$A$181&gt;=$B$1)*('기록'!$A$2:$A$181&lt;=$B$2))),31),"")</f>
      </c>
      <c r="J35">
        <f>IF(I35="","",SUMIFS('기록'!$G:$G,'기록'!$C:$C,I35,'기록'!$A:$A,"&gt;="&amp;$B$1,'기록'!$A:$A,"&lt;="&amp;$B$2))</f>
      </c>
      <c r="K35">
        <f>IF(I35="","",COUNTA(_xlfn.UNIQUE(_xlfn.FILTER('기록'!$A:$A,(('기록'!$C:$C=I35)*('기록'!$A:$A&gt;=$B$1)*('기록'!$A:$A&lt;=$B$2))))))</f>
      </c>
      <c r="L35">
        <f>IF(I35="","",J35)</f>
      </c>
    </row>
    <row r="36" spans="1:12" x14ac:dyDescent="0.25">
      <c r="A36">
        <f>IFERROR(INDEX($N$5:$Q$204,32,1),"")</f>
      </c>
      <c r="B36">
        <f>IFERROR(INDEX($N$5:$Q$204,32,2),"")</f>
      </c>
      <c r="C36">
        <f>IFERROR(INDEX($N$5:$Q$204,32,3),"")</f>
      </c>
      <c r="D36">
        <f>IFERROR(INDEX($N$5:$Q$204,32,4),"")</f>
      </c>
      <c r="H36">
        <f>IF(I36="","",32)</f>
      </c>
      <c r="I36">
        <f>IFERROR(INDEX(_xlfn.UNIQUE(_xlfn.FILTER('기록'!$C$2:$C$181,('기록'!$C$2:$C$181&lt;&gt;"")*('기록'!$A$2:$A$181&gt;=$B$1)*('기록'!$A$2:$A$181&lt;=$B$2))),32),"")</f>
      </c>
      <c r="J36">
        <f>IF(I36="","",SUMIFS('기록'!$G:$G,'기록'!$C:$C,I36,'기록'!$A:$A,"&gt;="&amp;$B$1,'기록'!$A:$A,"&lt;="&amp;$B$2))</f>
      </c>
      <c r="K36">
        <f>IF(I36="","",COUNTA(_xlfn.UNIQUE(_xlfn.FILTER('기록'!$A:$A,(('기록'!$C:$C=I36)*('기록'!$A:$A&gt;=$B$1)*('기록'!$A:$A&lt;=$B$2))))))</f>
      </c>
      <c r="L36">
        <f>IF(I36="","",J36)</f>
      </c>
    </row>
    <row r="37" spans="1:12" x14ac:dyDescent="0.25">
      <c r="A37">
        <f>IFERROR(INDEX($N$5:$Q$204,33,1),"")</f>
      </c>
      <c r="B37">
        <f>IFERROR(INDEX($N$5:$Q$204,33,2),"")</f>
      </c>
      <c r="C37">
        <f>IFERROR(INDEX($N$5:$Q$204,33,3),"")</f>
      </c>
      <c r="D37">
        <f>IFERROR(INDEX($N$5:$Q$204,33,4),"")</f>
      </c>
      <c r="H37">
        <f>IF(I37="","",33)</f>
      </c>
      <c r="I37">
        <f>IFERROR(INDEX(_xlfn.UNIQUE(_xlfn.FILTER('기록'!$C$2:$C$181,('기록'!$C$2:$C$181&lt;&gt;"")*('기록'!$A$2:$A$181&gt;=$B$1)*('기록'!$A$2:$A$181&lt;=$B$2))),33),"")</f>
      </c>
      <c r="J37">
        <f>IF(I37="","",SUMIFS('기록'!$G:$G,'기록'!$C:$C,I37,'기록'!$A:$A,"&gt;="&amp;$B$1,'기록'!$A:$A,"&lt;="&amp;$B$2))</f>
      </c>
      <c r="K37">
        <f>IF(I37="","",COUNTA(_xlfn.UNIQUE(_xlfn.FILTER('기록'!$A:$A,(('기록'!$C:$C=I37)*('기록'!$A:$A&gt;=$B$1)*('기록'!$A:$A&lt;=$B$2))))))</f>
      </c>
      <c r="L37">
        <f>IF(I37="","",J37)</f>
      </c>
    </row>
    <row r="38" spans="1:12" x14ac:dyDescent="0.25">
      <c r="A38">
        <f>IFERROR(INDEX($N$5:$Q$204,34,1),"")</f>
      </c>
      <c r="B38">
        <f>IFERROR(INDEX($N$5:$Q$204,34,2),"")</f>
      </c>
      <c r="C38">
        <f>IFERROR(INDEX($N$5:$Q$204,34,3),"")</f>
      </c>
      <c r="D38">
        <f>IFERROR(INDEX($N$5:$Q$204,34,4),"")</f>
      </c>
      <c r="H38">
        <f>IF(I38="","",34)</f>
      </c>
      <c r="I38">
        <f>IFERROR(INDEX(_xlfn.UNIQUE(_xlfn.FILTER('기록'!$C$2:$C$181,('기록'!$C$2:$C$181&lt;&gt;"")*('기록'!$A$2:$A$181&gt;=$B$1)*('기록'!$A$2:$A$181&lt;=$B$2))),34),"")</f>
      </c>
      <c r="J38">
        <f>IF(I38="","",SUMIFS('기록'!$G:$G,'기록'!$C:$C,I38,'기록'!$A:$A,"&gt;="&amp;$B$1,'기록'!$A:$A,"&lt;="&amp;$B$2))</f>
      </c>
      <c r="K38">
        <f>IF(I38="","",COUNTA(_xlfn.UNIQUE(_xlfn.FILTER('기록'!$A:$A,(('기록'!$C:$C=I38)*('기록'!$A:$A&gt;=$B$1)*('기록'!$A:$A&lt;=$B$2))))))</f>
      </c>
      <c r="L38">
        <f>IF(I38="","",J38)</f>
      </c>
    </row>
    <row r="39" spans="1:12" x14ac:dyDescent="0.25">
      <c r="A39">
        <f>IFERROR(INDEX($N$5:$Q$204,35,1),"")</f>
      </c>
      <c r="B39">
        <f>IFERROR(INDEX($N$5:$Q$204,35,2),"")</f>
      </c>
      <c r="C39">
        <f>IFERROR(INDEX($N$5:$Q$204,35,3),"")</f>
      </c>
      <c r="D39">
        <f>IFERROR(INDEX($N$5:$Q$204,35,4),"")</f>
      </c>
      <c r="H39">
        <f>IF(I39="","",35)</f>
      </c>
      <c r="I39">
        <f>IFERROR(INDEX(_xlfn.UNIQUE(_xlfn.FILTER('기록'!$C$2:$C$181,('기록'!$C$2:$C$181&lt;&gt;"")*('기록'!$A$2:$A$181&gt;=$B$1)*('기록'!$A$2:$A$181&lt;=$B$2))),35),"")</f>
      </c>
      <c r="J39">
        <f>IF(I39="","",SUMIFS('기록'!$G:$G,'기록'!$C:$C,I39,'기록'!$A:$A,"&gt;="&amp;$B$1,'기록'!$A:$A,"&lt;="&amp;$B$2))</f>
      </c>
      <c r="K39">
        <f>IF(I39="","",COUNTA(_xlfn.UNIQUE(_xlfn.FILTER('기록'!$A:$A,(('기록'!$C:$C=I39)*('기록'!$A:$A&gt;=$B$1)*('기록'!$A:$A&lt;=$B$2))))))</f>
      </c>
      <c r="L39">
        <f>IF(I39="","",J39)</f>
      </c>
    </row>
    <row r="40" spans="1:12" x14ac:dyDescent="0.25">
      <c r="A40">
        <f>IFERROR(INDEX($N$5:$Q$204,36,1),"")</f>
      </c>
      <c r="B40">
        <f>IFERROR(INDEX($N$5:$Q$204,36,2),"")</f>
      </c>
      <c r="C40">
        <f>IFERROR(INDEX($N$5:$Q$204,36,3),"")</f>
      </c>
      <c r="D40">
        <f>IFERROR(INDEX($N$5:$Q$204,36,4),"")</f>
      </c>
      <c r="H40">
        <f>IF(I40="","",36)</f>
      </c>
      <c r="I40">
        <f>IFERROR(INDEX(_xlfn.UNIQUE(_xlfn.FILTER('기록'!$C$2:$C$181,('기록'!$C$2:$C$181&lt;&gt;"")*('기록'!$A$2:$A$181&gt;=$B$1)*('기록'!$A$2:$A$181&lt;=$B$2))),36),"")</f>
      </c>
      <c r="J40">
        <f>IF(I40="","",SUMIFS('기록'!$G:$G,'기록'!$C:$C,I40,'기록'!$A:$A,"&gt;="&amp;$B$1,'기록'!$A:$A,"&lt;="&amp;$B$2))</f>
      </c>
      <c r="K40">
        <f>IF(I40="","",COUNTA(_xlfn.UNIQUE(_xlfn.FILTER('기록'!$A:$A,(('기록'!$C:$C=I40)*('기록'!$A:$A&gt;=$B$1)*('기록'!$A:$A&lt;=$B$2))))))</f>
      </c>
      <c r="L40">
        <f>IF(I40="","",J40)</f>
      </c>
    </row>
    <row r="41" spans="1:12" x14ac:dyDescent="0.25">
      <c r="A41">
        <f>IFERROR(INDEX($N$5:$Q$204,37,1),"")</f>
      </c>
      <c r="B41">
        <f>IFERROR(INDEX($N$5:$Q$204,37,2),"")</f>
      </c>
      <c r="C41">
        <f>IFERROR(INDEX($N$5:$Q$204,37,3),"")</f>
      </c>
      <c r="D41">
        <f>IFERROR(INDEX($N$5:$Q$204,37,4),"")</f>
      </c>
      <c r="H41">
        <f>IF(I41="","",37)</f>
      </c>
      <c r="I41">
        <f>IFERROR(INDEX(_xlfn.UNIQUE(_xlfn.FILTER('기록'!$C$2:$C$181,('기록'!$C$2:$C$181&lt;&gt;"")*('기록'!$A$2:$A$181&gt;=$B$1)*('기록'!$A$2:$A$181&lt;=$B$2))),37),"")</f>
      </c>
      <c r="J41">
        <f>IF(I41="","",SUMIFS('기록'!$G:$G,'기록'!$C:$C,I41,'기록'!$A:$A,"&gt;="&amp;$B$1,'기록'!$A:$A,"&lt;="&amp;$B$2))</f>
      </c>
      <c r="K41">
        <f>IF(I41="","",COUNTA(_xlfn.UNIQUE(_xlfn.FILTER('기록'!$A:$A,(('기록'!$C:$C=I41)*('기록'!$A:$A&gt;=$B$1)*('기록'!$A:$A&lt;=$B$2))))))</f>
      </c>
      <c r="L41">
        <f>IF(I41="","",J41)</f>
      </c>
    </row>
    <row r="42" spans="1:12" x14ac:dyDescent="0.25">
      <c r="A42">
        <f>IFERROR(INDEX($N$5:$Q$204,38,1),"")</f>
      </c>
      <c r="B42">
        <f>IFERROR(INDEX($N$5:$Q$204,38,2),"")</f>
      </c>
      <c r="C42">
        <f>IFERROR(INDEX($N$5:$Q$204,38,3),"")</f>
      </c>
      <c r="D42">
        <f>IFERROR(INDEX($N$5:$Q$204,38,4),"")</f>
      </c>
      <c r="H42">
        <f>IF(I42="","",38)</f>
      </c>
      <c r="I42">
        <f>IFERROR(INDEX(_xlfn.UNIQUE(_xlfn.FILTER('기록'!$C$2:$C$181,('기록'!$C$2:$C$181&lt;&gt;"")*('기록'!$A$2:$A$181&gt;=$B$1)*('기록'!$A$2:$A$181&lt;=$B$2))),38),"")</f>
      </c>
      <c r="J42">
        <f>IF(I42="","",SUMIFS('기록'!$G:$G,'기록'!$C:$C,I42,'기록'!$A:$A,"&gt;="&amp;$B$1,'기록'!$A:$A,"&lt;="&amp;$B$2))</f>
      </c>
      <c r="K42">
        <f>IF(I42="","",COUNTA(_xlfn.UNIQUE(_xlfn.FILTER('기록'!$A:$A,(('기록'!$C:$C=I42)*('기록'!$A:$A&gt;=$B$1)*('기록'!$A:$A&lt;=$B$2))))))</f>
      </c>
      <c r="L42">
        <f>IF(I42="","",J42)</f>
      </c>
    </row>
    <row r="43" spans="1:12" x14ac:dyDescent="0.25">
      <c r="A43">
        <f>IFERROR(INDEX($N$5:$Q$204,39,1),"")</f>
      </c>
      <c r="B43">
        <f>IFERROR(INDEX($N$5:$Q$204,39,2),"")</f>
      </c>
      <c r="C43">
        <f>IFERROR(INDEX($N$5:$Q$204,39,3),"")</f>
      </c>
      <c r="D43">
        <f>IFERROR(INDEX($N$5:$Q$204,39,4),"")</f>
      </c>
      <c r="H43">
        <f>IF(I43="","",39)</f>
      </c>
      <c r="I43">
        <f>IFERROR(INDEX(_xlfn.UNIQUE(_xlfn.FILTER('기록'!$C$2:$C$181,('기록'!$C$2:$C$181&lt;&gt;"")*('기록'!$A$2:$A$181&gt;=$B$1)*('기록'!$A$2:$A$181&lt;=$B$2))),39),"")</f>
      </c>
      <c r="J43">
        <f>IF(I43="","",SUMIFS('기록'!$G:$G,'기록'!$C:$C,I43,'기록'!$A:$A,"&gt;="&amp;$B$1,'기록'!$A:$A,"&lt;="&amp;$B$2))</f>
      </c>
      <c r="K43">
        <f>IF(I43="","",COUNTA(_xlfn.UNIQUE(_xlfn.FILTER('기록'!$A:$A,(('기록'!$C:$C=I43)*('기록'!$A:$A&gt;=$B$1)*('기록'!$A:$A&lt;=$B$2))))))</f>
      </c>
      <c r="L43">
        <f>IF(I43="","",J43)</f>
      </c>
    </row>
    <row r="44" spans="1:12" x14ac:dyDescent="0.25">
      <c r="A44">
        <f>IFERROR(INDEX($N$5:$Q$204,40,1),"")</f>
      </c>
      <c r="B44">
        <f>IFERROR(INDEX($N$5:$Q$204,40,2),"")</f>
      </c>
      <c r="C44">
        <f>IFERROR(INDEX($N$5:$Q$204,40,3),"")</f>
      </c>
      <c r="D44">
        <f>IFERROR(INDEX($N$5:$Q$204,40,4),"")</f>
      </c>
      <c r="H44">
        <f>IF(I44="","",40)</f>
      </c>
      <c r="I44">
        <f>IFERROR(INDEX(_xlfn.UNIQUE(_xlfn.FILTER('기록'!$C$2:$C$181,('기록'!$C$2:$C$181&lt;&gt;"")*('기록'!$A$2:$A$181&gt;=$B$1)*('기록'!$A$2:$A$181&lt;=$B$2))),40),"")</f>
      </c>
      <c r="J44">
        <f>IF(I44="","",SUMIFS('기록'!$G:$G,'기록'!$C:$C,I44,'기록'!$A:$A,"&gt;="&amp;$B$1,'기록'!$A:$A,"&lt;="&amp;$B$2))</f>
      </c>
      <c r="K44">
        <f>IF(I44="","",COUNTA(_xlfn.UNIQUE(_xlfn.FILTER('기록'!$A:$A,(('기록'!$C:$C=I44)*('기록'!$A:$A&gt;=$B$1)*('기록'!$A:$A&lt;=$B$2))))))</f>
      </c>
      <c r="L44">
        <f>IF(I44="","",J44)</f>
      </c>
    </row>
    <row r="45" spans="1:12" x14ac:dyDescent="0.25">
      <c r="A45">
        <f>IFERROR(INDEX($N$5:$Q$204,41,1),"")</f>
      </c>
      <c r="B45">
        <f>IFERROR(INDEX($N$5:$Q$204,41,2),"")</f>
      </c>
      <c r="C45">
        <f>IFERROR(INDEX($N$5:$Q$204,41,3),"")</f>
      </c>
      <c r="D45">
        <f>IFERROR(INDEX($N$5:$Q$204,41,4),"")</f>
      </c>
      <c r="H45">
        <f>IF(I45="","",41)</f>
      </c>
      <c r="I45">
        <f>IFERROR(INDEX(_xlfn.UNIQUE(_xlfn.FILTER('기록'!$C$2:$C$181,('기록'!$C$2:$C$181&lt;&gt;"")*('기록'!$A$2:$A$181&gt;=$B$1)*('기록'!$A$2:$A$181&lt;=$B$2))),41),"")</f>
      </c>
      <c r="J45">
        <f>IF(I45="","",SUMIFS('기록'!$G:$G,'기록'!$C:$C,I45,'기록'!$A:$A,"&gt;="&amp;$B$1,'기록'!$A:$A,"&lt;="&amp;$B$2))</f>
      </c>
      <c r="K45">
        <f>IF(I45="","",COUNTA(_xlfn.UNIQUE(_xlfn.FILTER('기록'!$A:$A,(('기록'!$C:$C=I45)*('기록'!$A:$A&gt;=$B$1)*('기록'!$A:$A&lt;=$B$2))))))</f>
      </c>
      <c r="L45">
        <f>IF(I45="","",J45)</f>
      </c>
    </row>
    <row r="46" spans="1:12" x14ac:dyDescent="0.25">
      <c r="A46">
        <f>IFERROR(INDEX($N$5:$Q$204,42,1),"")</f>
      </c>
      <c r="B46">
        <f>IFERROR(INDEX($N$5:$Q$204,42,2),"")</f>
      </c>
      <c r="C46">
        <f>IFERROR(INDEX($N$5:$Q$204,42,3),"")</f>
      </c>
      <c r="D46">
        <f>IFERROR(INDEX($N$5:$Q$204,42,4),"")</f>
      </c>
      <c r="H46">
        <f>IF(I46="","",42)</f>
      </c>
      <c r="I46">
        <f>IFERROR(INDEX(_xlfn.UNIQUE(_xlfn.FILTER('기록'!$C$2:$C$181,('기록'!$C$2:$C$181&lt;&gt;"")*('기록'!$A$2:$A$181&gt;=$B$1)*('기록'!$A$2:$A$181&lt;=$B$2))),42),"")</f>
      </c>
      <c r="J46">
        <f>IF(I46="","",SUMIFS('기록'!$G:$G,'기록'!$C:$C,I46,'기록'!$A:$A,"&gt;="&amp;$B$1,'기록'!$A:$A,"&lt;="&amp;$B$2))</f>
      </c>
      <c r="K46">
        <f>IF(I46="","",COUNTA(_xlfn.UNIQUE(_xlfn.FILTER('기록'!$A:$A,(('기록'!$C:$C=I46)*('기록'!$A:$A&gt;=$B$1)*('기록'!$A:$A&lt;=$B$2))))))</f>
      </c>
      <c r="L46">
        <f>IF(I46="","",J46)</f>
      </c>
    </row>
    <row r="47" spans="1:12" x14ac:dyDescent="0.25">
      <c r="A47">
        <f>IFERROR(INDEX($N$5:$Q$204,43,1),"")</f>
      </c>
      <c r="B47">
        <f>IFERROR(INDEX($N$5:$Q$204,43,2),"")</f>
      </c>
      <c r="C47">
        <f>IFERROR(INDEX($N$5:$Q$204,43,3),"")</f>
      </c>
      <c r="D47">
        <f>IFERROR(INDEX($N$5:$Q$204,43,4),"")</f>
      </c>
      <c r="H47">
        <f>IF(I47="","",43)</f>
      </c>
      <c r="I47">
        <f>IFERROR(INDEX(_xlfn.UNIQUE(_xlfn.FILTER('기록'!$C$2:$C$181,('기록'!$C$2:$C$181&lt;&gt;"")*('기록'!$A$2:$A$181&gt;=$B$1)*('기록'!$A$2:$A$181&lt;=$B$2))),43),"")</f>
      </c>
      <c r="J47">
        <f>IF(I47="","",SUMIFS('기록'!$G:$G,'기록'!$C:$C,I47,'기록'!$A:$A,"&gt;="&amp;$B$1,'기록'!$A:$A,"&lt;="&amp;$B$2))</f>
      </c>
      <c r="K47">
        <f>IF(I47="","",COUNTA(_xlfn.UNIQUE(_xlfn.FILTER('기록'!$A:$A,(('기록'!$C:$C=I47)*('기록'!$A:$A&gt;=$B$1)*('기록'!$A:$A&lt;=$B$2))))))</f>
      </c>
      <c r="L47">
        <f>IF(I47="","",J47)</f>
      </c>
    </row>
    <row r="48" spans="1:12" x14ac:dyDescent="0.25">
      <c r="A48">
        <f>IFERROR(INDEX($N$5:$Q$204,44,1),"")</f>
      </c>
      <c r="B48">
        <f>IFERROR(INDEX($N$5:$Q$204,44,2),"")</f>
      </c>
      <c r="C48">
        <f>IFERROR(INDEX($N$5:$Q$204,44,3),"")</f>
      </c>
      <c r="D48">
        <f>IFERROR(INDEX($N$5:$Q$204,44,4),"")</f>
      </c>
      <c r="H48">
        <f>IF(I48="","",44)</f>
      </c>
      <c r="I48">
        <f>IFERROR(INDEX(_xlfn.UNIQUE(_xlfn.FILTER('기록'!$C$2:$C$181,('기록'!$C$2:$C$181&lt;&gt;"")*('기록'!$A$2:$A$181&gt;=$B$1)*('기록'!$A$2:$A$181&lt;=$B$2))),44),"")</f>
      </c>
      <c r="J48">
        <f>IF(I48="","",SUMIFS('기록'!$G:$G,'기록'!$C:$C,I48,'기록'!$A:$A,"&gt;="&amp;$B$1,'기록'!$A:$A,"&lt;="&amp;$B$2))</f>
      </c>
      <c r="K48">
        <f>IF(I48="","",COUNTA(_xlfn.UNIQUE(_xlfn.FILTER('기록'!$A:$A,(('기록'!$C:$C=I48)*('기록'!$A:$A&gt;=$B$1)*('기록'!$A:$A&lt;=$B$2))))))</f>
      </c>
      <c r="L48">
        <f>IF(I48="","",J48)</f>
      </c>
    </row>
    <row r="49" spans="1:12" x14ac:dyDescent="0.25">
      <c r="A49">
        <f>IFERROR(INDEX($N$5:$Q$204,45,1),"")</f>
      </c>
      <c r="B49">
        <f>IFERROR(INDEX($N$5:$Q$204,45,2),"")</f>
      </c>
      <c r="C49">
        <f>IFERROR(INDEX($N$5:$Q$204,45,3),"")</f>
      </c>
      <c r="D49">
        <f>IFERROR(INDEX($N$5:$Q$204,45,4),"")</f>
      </c>
      <c r="H49">
        <f>IF(I49="","",45)</f>
      </c>
      <c r="I49">
        <f>IFERROR(INDEX(_xlfn.UNIQUE(_xlfn.FILTER('기록'!$C$2:$C$181,('기록'!$C$2:$C$181&lt;&gt;"")*('기록'!$A$2:$A$181&gt;=$B$1)*('기록'!$A$2:$A$181&lt;=$B$2))),45),"")</f>
      </c>
      <c r="J49">
        <f>IF(I49="","",SUMIFS('기록'!$G:$G,'기록'!$C:$C,I49,'기록'!$A:$A,"&gt;="&amp;$B$1,'기록'!$A:$A,"&lt;="&amp;$B$2))</f>
      </c>
      <c r="K49">
        <f>IF(I49="","",COUNTA(_xlfn.UNIQUE(_xlfn.FILTER('기록'!$A:$A,(('기록'!$C:$C=I49)*('기록'!$A:$A&gt;=$B$1)*('기록'!$A:$A&lt;=$B$2))))))</f>
      </c>
      <c r="L49">
        <f>IF(I49="","",J49)</f>
      </c>
    </row>
    <row r="50" spans="1:12" x14ac:dyDescent="0.25">
      <c r="A50">
        <f>IFERROR(INDEX($N$5:$Q$204,46,1),"")</f>
      </c>
      <c r="B50">
        <f>IFERROR(INDEX($N$5:$Q$204,46,2),"")</f>
      </c>
      <c r="C50">
        <f>IFERROR(INDEX($N$5:$Q$204,46,3),"")</f>
      </c>
      <c r="D50">
        <f>IFERROR(INDEX($N$5:$Q$204,46,4),"")</f>
      </c>
      <c r="H50">
        <f>IF(I50="","",46)</f>
      </c>
      <c r="I50">
        <f>IFERROR(INDEX(_xlfn.UNIQUE(_xlfn.FILTER('기록'!$C$2:$C$181,('기록'!$C$2:$C$181&lt;&gt;"")*('기록'!$A$2:$A$181&gt;=$B$1)*('기록'!$A$2:$A$181&lt;=$B$2))),46),"")</f>
      </c>
      <c r="J50">
        <f>IF(I50="","",SUMIFS('기록'!$G:$G,'기록'!$C:$C,I50,'기록'!$A:$A,"&gt;="&amp;$B$1,'기록'!$A:$A,"&lt;="&amp;$B$2))</f>
      </c>
      <c r="K50">
        <f>IF(I50="","",COUNTA(_xlfn.UNIQUE(_xlfn.FILTER('기록'!$A:$A,(('기록'!$C:$C=I50)*('기록'!$A:$A&gt;=$B$1)*('기록'!$A:$A&lt;=$B$2))))))</f>
      </c>
      <c r="L50">
        <f>IF(I50="","",J50)</f>
      </c>
    </row>
    <row r="51" spans="1:12" x14ac:dyDescent="0.25">
      <c r="A51">
        <f>IFERROR(INDEX($N$5:$Q$204,47,1),"")</f>
      </c>
      <c r="B51">
        <f>IFERROR(INDEX($N$5:$Q$204,47,2),"")</f>
      </c>
      <c r="C51">
        <f>IFERROR(INDEX($N$5:$Q$204,47,3),"")</f>
      </c>
      <c r="D51">
        <f>IFERROR(INDEX($N$5:$Q$204,47,4),"")</f>
      </c>
      <c r="H51">
        <f>IF(I51="","",47)</f>
      </c>
      <c r="I51">
        <f>IFERROR(INDEX(_xlfn.UNIQUE(_xlfn.FILTER('기록'!$C$2:$C$181,('기록'!$C$2:$C$181&lt;&gt;"")*('기록'!$A$2:$A$181&gt;=$B$1)*('기록'!$A$2:$A$181&lt;=$B$2))),47),"")</f>
      </c>
      <c r="J51">
        <f>IF(I51="","",SUMIFS('기록'!$G:$G,'기록'!$C:$C,I51,'기록'!$A:$A,"&gt;="&amp;$B$1,'기록'!$A:$A,"&lt;="&amp;$B$2))</f>
      </c>
      <c r="K51">
        <f>IF(I51="","",COUNTA(_xlfn.UNIQUE(_xlfn.FILTER('기록'!$A:$A,(('기록'!$C:$C=I51)*('기록'!$A:$A&gt;=$B$1)*('기록'!$A:$A&lt;=$B$2))))))</f>
      </c>
      <c r="L51">
        <f>IF(I51="","",J51)</f>
      </c>
    </row>
    <row r="52" spans="1:12" x14ac:dyDescent="0.25">
      <c r="A52">
        <f>IFERROR(INDEX($N$5:$Q$204,48,1),"")</f>
      </c>
      <c r="B52">
        <f>IFERROR(INDEX($N$5:$Q$204,48,2),"")</f>
      </c>
      <c r="C52">
        <f>IFERROR(INDEX($N$5:$Q$204,48,3),"")</f>
      </c>
      <c r="D52">
        <f>IFERROR(INDEX($N$5:$Q$204,48,4),"")</f>
      </c>
      <c r="H52">
        <f>IF(I52="","",48)</f>
      </c>
      <c r="I52">
        <f>IFERROR(INDEX(_xlfn.UNIQUE(_xlfn.FILTER('기록'!$C$2:$C$181,('기록'!$C$2:$C$181&lt;&gt;"")*('기록'!$A$2:$A$181&gt;=$B$1)*('기록'!$A$2:$A$181&lt;=$B$2))),48),"")</f>
      </c>
      <c r="J52">
        <f>IF(I52="","",SUMIFS('기록'!$G:$G,'기록'!$C:$C,I52,'기록'!$A:$A,"&gt;="&amp;$B$1,'기록'!$A:$A,"&lt;="&amp;$B$2))</f>
      </c>
      <c r="K52">
        <f>IF(I52="","",COUNTA(_xlfn.UNIQUE(_xlfn.FILTER('기록'!$A:$A,(('기록'!$C:$C=I52)*('기록'!$A:$A&gt;=$B$1)*('기록'!$A:$A&lt;=$B$2))))))</f>
      </c>
      <c r="L52">
        <f>IF(I52="","",J52)</f>
      </c>
    </row>
    <row r="53" spans="1:12" x14ac:dyDescent="0.25">
      <c r="A53">
        <f>IFERROR(INDEX($N$5:$Q$204,49,1),"")</f>
      </c>
      <c r="B53">
        <f>IFERROR(INDEX($N$5:$Q$204,49,2),"")</f>
      </c>
      <c r="C53">
        <f>IFERROR(INDEX($N$5:$Q$204,49,3),"")</f>
      </c>
      <c r="D53">
        <f>IFERROR(INDEX($N$5:$Q$204,49,4),"")</f>
      </c>
      <c r="H53">
        <f>IF(I53="","",49)</f>
      </c>
      <c r="I53">
        <f>IFERROR(INDEX(_xlfn.UNIQUE(_xlfn.FILTER('기록'!$C$2:$C$181,('기록'!$C$2:$C$181&lt;&gt;"")*('기록'!$A$2:$A$181&gt;=$B$1)*('기록'!$A$2:$A$181&lt;=$B$2))),49),"")</f>
      </c>
      <c r="J53">
        <f>IF(I53="","",SUMIFS('기록'!$G:$G,'기록'!$C:$C,I53,'기록'!$A:$A,"&gt;="&amp;$B$1,'기록'!$A:$A,"&lt;="&amp;$B$2))</f>
      </c>
      <c r="K53">
        <f>IF(I53="","",COUNTA(_xlfn.UNIQUE(_xlfn.FILTER('기록'!$A:$A,(('기록'!$C:$C=I53)*('기록'!$A:$A&gt;=$B$1)*('기록'!$A:$A&lt;=$B$2))))))</f>
      </c>
      <c r="L53">
        <f>IF(I53="","",J53)</f>
      </c>
    </row>
    <row r="54" spans="1:12" x14ac:dyDescent="0.25">
      <c r="A54">
        <f>IFERROR(INDEX($N$5:$Q$204,50,1),"")</f>
      </c>
      <c r="B54">
        <f>IFERROR(INDEX($N$5:$Q$204,50,2),"")</f>
      </c>
      <c r="C54">
        <f>IFERROR(INDEX($N$5:$Q$204,50,3),"")</f>
      </c>
      <c r="D54">
        <f>IFERROR(INDEX($N$5:$Q$204,50,4),"")</f>
      </c>
      <c r="H54">
        <f>IF(I54="","",50)</f>
      </c>
      <c r="I54">
        <f>IFERROR(INDEX(_xlfn.UNIQUE(_xlfn.FILTER('기록'!$C$2:$C$181,('기록'!$C$2:$C$181&lt;&gt;"")*('기록'!$A$2:$A$181&gt;=$B$1)*('기록'!$A$2:$A$181&lt;=$B$2))),50),"")</f>
      </c>
      <c r="J54">
        <f>IF(I54="","",SUMIFS('기록'!$G:$G,'기록'!$C:$C,I54,'기록'!$A:$A,"&gt;="&amp;$B$1,'기록'!$A:$A,"&lt;="&amp;$B$2))</f>
      </c>
      <c r="K54">
        <f>IF(I54="","",COUNTA(_xlfn.UNIQUE(_xlfn.FILTER('기록'!$A:$A,(('기록'!$C:$C=I54)*('기록'!$A:$A&gt;=$B$1)*('기록'!$A:$A&lt;=$B$2))))))</f>
      </c>
      <c r="L54">
        <f>IF(I54="","",J54)</f>
      </c>
    </row>
    <row r="55" spans="1:12" x14ac:dyDescent="0.25">
      <c r="A55">
        <f>IFERROR(INDEX($N$5:$Q$204,51,1),"")</f>
      </c>
      <c r="B55">
        <f>IFERROR(INDEX($N$5:$Q$204,51,2),"")</f>
      </c>
      <c r="C55">
        <f>IFERROR(INDEX($N$5:$Q$204,51,3),"")</f>
      </c>
      <c r="D55">
        <f>IFERROR(INDEX($N$5:$Q$204,51,4),"")</f>
      </c>
      <c r="H55">
        <f>IF(I55="","",51)</f>
      </c>
      <c r="I55">
        <f>IFERROR(INDEX(_xlfn.UNIQUE(_xlfn.FILTER('기록'!$C$2:$C$181,('기록'!$C$2:$C$181&lt;&gt;"")*('기록'!$A$2:$A$181&gt;=$B$1)*('기록'!$A$2:$A$181&lt;=$B$2))),51),"")</f>
      </c>
      <c r="J55">
        <f>IF(I55="","",SUMIFS('기록'!$G:$G,'기록'!$C:$C,I55,'기록'!$A:$A,"&gt;="&amp;$B$1,'기록'!$A:$A,"&lt;="&amp;$B$2))</f>
      </c>
      <c r="K55">
        <f>IF(I55="","",COUNTA(_xlfn.UNIQUE(_xlfn.FILTER('기록'!$A:$A,(('기록'!$C:$C=I55)*('기록'!$A:$A&gt;=$B$1)*('기록'!$A:$A&lt;=$B$2))))))</f>
      </c>
      <c r="L55">
        <f>IF(I55="","",J55)</f>
      </c>
    </row>
    <row r="56" spans="1:12" x14ac:dyDescent="0.25">
      <c r="A56">
        <f>IFERROR(INDEX($N$5:$Q$204,52,1),"")</f>
      </c>
      <c r="B56">
        <f>IFERROR(INDEX($N$5:$Q$204,52,2),"")</f>
      </c>
      <c r="C56">
        <f>IFERROR(INDEX($N$5:$Q$204,52,3),"")</f>
      </c>
      <c r="D56">
        <f>IFERROR(INDEX($N$5:$Q$204,52,4),"")</f>
      </c>
      <c r="H56">
        <f>IF(I56="","",52)</f>
      </c>
      <c r="I56">
        <f>IFERROR(INDEX(_xlfn.UNIQUE(_xlfn.FILTER('기록'!$C$2:$C$181,('기록'!$C$2:$C$181&lt;&gt;"")*('기록'!$A$2:$A$181&gt;=$B$1)*('기록'!$A$2:$A$181&lt;=$B$2))),52),"")</f>
      </c>
      <c r="J56">
        <f>IF(I56="","",SUMIFS('기록'!$G:$G,'기록'!$C:$C,I56,'기록'!$A:$A,"&gt;="&amp;$B$1,'기록'!$A:$A,"&lt;="&amp;$B$2))</f>
      </c>
      <c r="K56">
        <f>IF(I56="","",COUNTA(_xlfn.UNIQUE(_xlfn.FILTER('기록'!$A:$A,(('기록'!$C:$C=I56)*('기록'!$A:$A&gt;=$B$1)*('기록'!$A:$A&lt;=$B$2))))))</f>
      </c>
      <c r="L56">
        <f>IF(I56="","",J56)</f>
      </c>
    </row>
    <row r="57" spans="1:12" x14ac:dyDescent="0.25">
      <c r="A57">
        <f>IFERROR(INDEX($N$5:$Q$204,53,1),"")</f>
      </c>
      <c r="B57">
        <f>IFERROR(INDEX($N$5:$Q$204,53,2),"")</f>
      </c>
      <c r="C57">
        <f>IFERROR(INDEX($N$5:$Q$204,53,3),"")</f>
      </c>
      <c r="D57">
        <f>IFERROR(INDEX($N$5:$Q$204,53,4),"")</f>
      </c>
      <c r="H57">
        <f>IF(I57="","",53)</f>
      </c>
      <c r="I57">
        <f>IFERROR(INDEX(_xlfn.UNIQUE(_xlfn.FILTER('기록'!$C$2:$C$181,('기록'!$C$2:$C$181&lt;&gt;"")*('기록'!$A$2:$A$181&gt;=$B$1)*('기록'!$A$2:$A$181&lt;=$B$2))),53),"")</f>
      </c>
      <c r="J57">
        <f>IF(I57="","",SUMIFS('기록'!$G:$G,'기록'!$C:$C,I57,'기록'!$A:$A,"&gt;="&amp;$B$1,'기록'!$A:$A,"&lt;="&amp;$B$2))</f>
      </c>
      <c r="K57">
        <f>IF(I57="","",COUNTA(_xlfn.UNIQUE(_xlfn.FILTER('기록'!$A:$A,(('기록'!$C:$C=I57)*('기록'!$A:$A&gt;=$B$1)*('기록'!$A:$A&lt;=$B$2))))))</f>
      </c>
      <c r="L57">
        <f>IF(I57="","",J57)</f>
      </c>
    </row>
    <row r="58" spans="1:12" x14ac:dyDescent="0.25">
      <c r="A58">
        <f>IFERROR(INDEX($N$5:$Q$204,54,1),"")</f>
      </c>
      <c r="B58">
        <f>IFERROR(INDEX($N$5:$Q$204,54,2),"")</f>
      </c>
      <c r="C58">
        <f>IFERROR(INDEX($N$5:$Q$204,54,3),"")</f>
      </c>
      <c r="D58">
        <f>IFERROR(INDEX($N$5:$Q$204,54,4),"")</f>
      </c>
      <c r="H58">
        <f>IF(I58="","",54)</f>
      </c>
      <c r="I58">
        <f>IFERROR(INDEX(_xlfn.UNIQUE(_xlfn.FILTER('기록'!$C$2:$C$181,('기록'!$C$2:$C$181&lt;&gt;"")*('기록'!$A$2:$A$181&gt;=$B$1)*('기록'!$A$2:$A$181&lt;=$B$2))),54),"")</f>
      </c>
      <c r="J58">
        <f>IF(I58="","",SUMIFS('기록'!$G:$G,'기록'!$C:$C,I58,'기록'!$A:$A,"&gt;="&amp;$B$1,'기록'!$A:$A,"&lt;="&amp;$B$2))</f>
      </c>
      <c r="K58">
        <f>IF(I58="","",COUNTA(_xlfn.UNIQUE(_xlfn.FILTER('기록'!$A:$A,(('기록'!$C:$C=I58)*('기록'!$A:$A&gt;=$B$1)*('기록'!$A:$A&lt;=$B$2))))))</f>
      </c>
      <c r="L58">
        <f>IF(I58="","",J58)</f>
      </c>
    </row>
    <row r="59" spans="1:12" x14ac:dyDescent="0.25">
      <c r="A59">
        <f>IFERROR(INDEX($N$5:$Q$204,55,1),"")</f>
      </c>
      <c r="B59">
        <f>IFERROR(INDEX($N$5:$Q$204,55,2),"")</f>
      </c>
      <c r="C59">
        <f>IFERROR(INDEX($N$5:$Q$204,55,3),"")</f>
      </c>
      <c r="D59">
        <f>IFERROR(INDEX($N$5:$Q$204,55,4),"")</f>
      </c>
      <c r="H59">
        <f>IF(I59="","",55)</f>
      </c>
      <c r="I59">
        <f>IFERROR(INDEX(_xlfn.UNIQUE(_xlfn.FILTER('기록'!$C$2:$C$181,('기록'!$C$2:$C$181&lt;&gt;"")*('기록'!$A$2:$A$181&gt;=$B$1)*('기록'!$A$2:$A$181&lt;=$B$2))),55),"")</f>
      </c>
      <c r="J59">
        <f>IF(I59="","",SUMIFS('기록'!$G:$G,'기록'!$C:$C,I59,'기록'!$A:$A,"&gt;="&amp;$B$1,'기록'!$A:$A,"&lt;="&amp;$B$2))</f>
      </c>
      <c r="K59">
        <f>IF(I59="","",COUNTA(_xlfn.UNIQUE(_xlfn.FILTER('기록'!$A:$A,(('기록'!$C:$C=I59)*('기록'!$A:$A&gt;=$B$1)*('기록'!$A:$A&lt;=$B$2))))))</f>
      </c>
      <c r="L59">
        <f>IF(I59="","",J59)</f>
      </c>
    </row>
    <row r="60" spans="1:12" x14ac:dyDescent="0.25">
      <c r="A60">
        <f>IFERROR(INDEX($N$5:$Q$204,56,1),"")</f>
      </c>
      <c r="B60">
        <f>IFERROR(INDEX($N$5:$Q$204,56,2),"")</f>
      </c>
      <c r="C60">
        <f>IFERROR(INDEX($N$5:$Q$204,56,3),"")</f>
      </c>
      <c r="D60">
        <f>IFERROR(INDEX($N$5:$Q$204,56,4),"")</f>
      </c>
      <c r="H60">
        <f>IF(I60="","",56)</f>
      </c>
      <c r="I60">
        <f>IFERROR(INDEX(_xlfn.UNIQUE(_xlfn.FILTER('기록'!$C$2:$C$181,('기록'!$C$2:$C$181&lt;&gt;"")*('기록'!$A$2:$A$181&gt;=$B$1)*('기록'!$A$2:$A$181&lt;=$B$2))),56),"")</f>
      </c>
      <c r="J60">
        <f>IF(I60="","",SUMIFS('기록'!$G:$G,'기록'!$C:$C,I60,'기록'!$A:$A,"&gt;="&amp;$B$1,'기록'!$A:$A,"&lt;="&amp;$B$2))</f>
      </c>
      <c r="K60">
        <f>IF(I60="","",COUNTA(_xlfn.UNIQUE(_xlfn.FILTER('기록'!$A:$A,(('기록'!$C:$C=I60)*('기록'!$A:$A&gt;=$B$1)*('기록'!$A:$A&lt;=$B$2))))))</f>
      </c>
      <c r="L60">
        <f>IF(I60="","",J60)</f>
      </c>
    </row>
    <row r="61" spans="1:12" x14ac:dyDescent="0.25">
      <c r="A61">
        <f>IFERROR(INDEX($N$5:$Q$204,57,1),"")</f>
      </c>
      <c r="B61">
        <f>IFERROR(INDEX($N$5:$Q$204,57,2),"")</f>
      </c>
      <c r="C61">
        <f>IFERROR(INDEX($N$5:$Q$204,57,3),"")</f>
      </c>
      <c r="D61">
        <f>IFERROR(INDEX($N$5:$Q$204,57,4),"")</f>
      </c>
      <c r="H61">
        <f>IF(I61="","",57)</f>
      </c>
      <c r="I61">
        <f>IFERROR(INDEX(_xlfn.UNIQUE(_xlfn.FILTER('기록'!$C$2:$C$181,('기록'!$C$2:$C$181&lt;&gt;"")*('기록'!$A$2:$A$181&gt;=$B$1)*('기록'!$A$2:$A$181&lt;=$B$2))),57),"")</f>
      </c>
      <c r="J61">
        <f>IF(I61="","",SUMIFS('기록'!$G:$G,'기록'!$C:$C,I61,'기록'!$A:$A,"&gt;="&amp;$B$1,'기록'!$A:$A,"&lt;="&amp;$B$2))</f>
      </c>
      <c r="K61">
        <f>IF(I61="","",COUNTA(_xlfn.UNIQUE(_xlfn.FILTER('기록'!$A:$A,(('기록'!$C:$C=I61)*('기록'!$A:$A&gt;=$B$1)*('기록'!$A:$A&lt;=$B$2))))))</f>
      </c>
      <c r="L61">
        <f>IF(I61="","",J61)</f>
      </c>
    </row>
    <row r="62" spans="1:12" x14ac:dyDescent="0.25">
      <c r="A62">
        <f>IFERROR(INDEX($N$5:$Q$204,58,1),"")</f>
      </c>
      <c r="B62">
        <f>IFERROR(INDEX($N$5:$Q$204,58,2),"")</f>
      </c>
      <c r="C62">
        <f>IFERROR(INDEX($N$5:$Q$204,58,3),"")</f>
      </c>
      <c r="D62">
        <f>IFERROR(INDEX($N$5:$Q$204,58,4),"")</f>
      </c>
      <c r="H62">
        <f>IF(I62="","",58)</f>
      </c>
      <c r="I62">
        <f>IFERROR(INDEX(_xlfn.UNIQUE(_xlfn.FILTER('기록'!$C$2:$C$181,('기록'!$C$2:$C$181&lt;&gt;"")*('기록'!$A$2:$A$181&gt;=$B$1)*('기록'!$A$2:$A$181&lt;=$B$2))),58),"")</f>
      </c>
      <c r="J62">
        <f>IF(I62="","",SUMIFS('기록'!$G:$G,'기록'!$C:$C,I62,'기록'!$A:$A,"&gt;="&amp;$B$1,'기록'!$A:$A,"&lt;="&amp;$B$2))</f>
      </c>
      <c r="K62">
        <f>IF(I62="","",COUNTA(_xlfn.UNIQUE(_xlfn.FILTER('기록'!$A:$A,(('기록'!$C:$C=I62)*('기록'!$A:$A&gt;=$B$1)*('기록'!$A:$A&lt;=$B$2))))))</f>
      </c>
      <c r="L62">
        <f>IF(I62="","",J62)</f>
      </c>
    </row>
    <row r="63" spans="1:12" x14ac:dyDescent="0.25">
      <c r="A63">
        <f>IFERROR(INDEX($N$5:$Q$204,59,1),"")</f>
      </c>
      <c r="B63">
        <f>IFERROR(INDEX($N$5:$Q$204,59,2),"")</f>
      </c>
      <c r="C63">
        <f>IFERROR(INDEX($N$5:$Q$204,59,3),"")</f>
      </c>
      <c r="D63">
        <f>IFERROR(INDEX($N$5:$Q$204,59,4),"")</f>
      </c>
      <c r="H63">
        <f>IF(I63="","",59)</f>
      </c>
      <c r="I63">
        <f>IFERROR(INDEX(_xlfn.UNIQUE(_xlfn.FILTER('기록'!$C$2:$C$181,('기록'!$C$2:$C$181&lt;&gt;"")*('기록'!$A$2:$A$181&gt;=$B$1)*('기록'!$A$2:$A$181&lt;=$B$2))),59),"")</f>
      </c>
      <c r="J63">
        <f>IF(I63="","",SUMIFS('기록'!$G:$G,'기록'!$C:$C,I63,'기록'!$A:$A,"&gt;="&amp;$B$1,'기록'!$A:$A,"&lt;="&amp;$B$2))</f>
      </c>
      <c r="K63">
        <f>IF(I63="","",COUNTA(_xlfn.UNIQUE(_xlfn.FILTER('기록'!$A:$A,(('기록'!$C:$C=I63)*('기록'!$A:$A&gt;=$B$1)*('기록'!$A:$A&lt;=$B$2))))))</f>
      </c>
      <c r="L63">
        <f>IF(I63="","",J63)</f>
      </c>
    </row>
    <row r="64" spans="1:12" x14ac:dyDescent="0.25">
      <c r="A64">
        <f>IFERROR(INDEX($N$5:$Q$204,60,1),"")</f>
      </c>
      <c r="B64">
        <f>IFERROR(INDEX($N$5:$Q$204,60,2),"")</f>
      </c>
      <c r="C64">
        <f>IFERROR(INDEX($N$5:$Q$204,60,3),"")</f>
      </c>
      <c r="D64">
        <f>IFERROR(INDEX($N$5:$Q$204,60,4),"")</f>
      </c>
      <c r="H64">
        <f>IF(I64="","",60)</f>
      </c>
      <c r="I64">
        <f>IFERROR(INDEX(_xlfn.UNIQUE(_xlfn.FILTER('기록'!$C$2:$C$181,('기록'!$C$2:$C$181&lt;&gt;"")*('기록'!$A$2:$A$181&gt;=$B$1)*('기록'!$A$2:$A$181&lt;=$B$2))),60),"")</f>
      </c>
      <c r="J64">
        <f>IF(I64="","",SUMIFS('기록'!$G:$G,'기록'!$C:$C,I64,'기록'!$A:$A,"&gt;="&amp;$B$1,'기록'!$A:$A,"&lt;="&amp;$B$2))</f>
      </c>
      <c r="K64">
        <f>IF(I64="","",COUNTA(_xlfn.UNIQUE(_xlfn.FILTER('기록'!$A:$A,(('기록'!$C:$C=I64)*('기록'!$A:$A&gt;=$B$1)*('기록'!$A:$A&lt;=$B$2))))))</f>
      </c>
      <c r="L64">
        <f>IF(I64="","",J64)</f>
      </c>
    </row>
    <row r="65" spans="1:12" x14ac:dyDescent="0.25">
      <c r="A65">
        <f>IFERROR(INDEX($N$5:$Q$204,61,1),"")</f>
      </c>
      <c r="B65">
        <f>IFERROR(INDEX($N$5:$Q$204,61,2),"")</f>
      </c>
      <c r="C65">
        <f>IFERROR(INDEX($N$5:$Q$204,61,3),"")</f>
      </c>
      <c r="D65">
        <f>IFERROR(INDEX($N$5:$Q$204,61,4),"")</f>
      </c>
      <c r="H65">
        <f>IF(I65="","",61)</f>
      </c>
      <c r="I65">
        <f>IFERROR(INDEX(_xlfn.UNIQUE(_xlfn.FILTER('기록'!$C$2:$C$181,('기록'!$C$2:$C$181&lt;&gt;"")*('기록'!$A$2:$A$181&gt;=$B$1)*('기록'!$A$2:$A$181&lt;=$B$2))),61),"")</f>
      </c>
      <c r="J65">
        <f>IF(I65="","",SUMIFS('기록'!$G:$G,'기록'!$C:$C,I65,'기록'!$A:$A,"&gt;="&amp;$B$1,'기록'!$A:$A,"&lt;="&amp;$B$2))</f>
      </c>
      <c r="K65">
        <f>IF(I65="","",COUNTA(_xlfn.UNIQUE(_xlfn.FILTER('기록'!$A:$A,(('기록'!$C:$C=I65)*('기록'!$A:$A&gt;=$B$1)*('기록'!$A:$A&lt;=$B$2))))))</f>
      </c>
      <c r="L65">
        <f>IF(I65="","",J65)</f>
      </c>
    </row>
    <row r="66" spans="1:12" x14ac:dyDescent="0.25">
      <c r="A66">
        <f>IFERROR(INDEX($N$5:$Q$204,62,1),"")</f>
      </c>
      <c r="B66">
        <f>IFERROR(INDEX($N$5:$Q$204,62,2),"")</f>
      </c>
      <c r="C66">
        <f>IFERROR(INDEX($N$5:$Q$204,62,3),"")</f>
      </c>
      <c r="D66">
        <f>IFERROR(INDEX($N$5:$Q$204,62,4),"")</f>
      </c>
      <c r="H66">
        <f>IF(I66="","",62)</f>
      </c>
      <c r="I66">
        <f>IFERROR(INDEX(_xlfn.UNIQUE(_xlfn.FILTER('기록'!$C$2:$C$181,('기록'!$C$2:$C$181&lt;&gt;"")*('기록'!$A$2:$A$181&gt;=$B$1)*('기록'!$A$2:$A$181&lt;=$B$2))),62),"")</f>
      </c>
      <c r="J66">
        <f>IF(I66="","",SUMIFS('기록'!$G:$G,'기록'!$C:$C,I66,'기록'!$A:$A,"&gt;="&amp;$B$1,'기록'!$A:$A,"&lt;="&amp;$B$2))</f>
      </c>
      <c r="K66">
        <f>IF(I66="","",COUNTA(_xlfn.UNIQUE(_xlfn.FILTER('기록'!$A:$A,(('기록'!$C:$C=I66)*('기록'!$A:$A&gt;=$B$1)*('기록'!$A:$A&lt;=$B$2))))))</f>
      </c>
      <c r="L66">
        <f>IF(I66="","",J66)</f>
      </c>
    </row>
    <row r="67" spans="1:12" x14ac:dyDescent="0.25">
      <c r="A67">
        <f>IFERROR(INDEX($N$5:$Q$204,63,1),"")</f>
      </c>
      <c r="B67">
        <f>IFERROR(INDEX($N$5:$Q$204,63,2),"")</f>
      </c>
      <c r="C67">
        <f>IFERROR(INDEX($N$5:$Q$204,63,3),"")</f>
      </c>
      <c r="D67">
        <f>IFERROR(INDEX($N$5:$Q$204,63,4),"")</f>
      </c>
      <c r="H67">
        <f>IF(I67="","",63)</f>
      </c>
      <c r="I67">
        <f>IFERROR(INDEX(_xlfn.UNIQUE(_xlfn.FILTER('기록'!$C$2:$C$181,('기록'!$C$2:$C$181&lt;&gt;"")*('기록'!$A$2:$A$181&gt;=$B$1)*('기록'!$A$2:$A$181&lt;=$B$2))),63),"")</f>
      </c>
      <c r="J67">
        <f>IF(I67="","",SUMIFS('기록'!$G:$G,'기록'!$C:$C,I67,'기록'!$A:$A,"&gt;="&amp;$B$1,'기록'!$A:$A,"&lt;="&amp;$B$2))</f>
      </c>
      <c r="K67">
        <f>IF(I67="","",COUNTA(_xlfn.UNIQUE(_xlfn.FILTER('기록'!$A:$A,(('기록'!$C:$C=I67)*('기록'!$A:$A&gt;=$B$1)*('기록'!$A:$A&lt;=$B$2))))))</f>
      </c>
      <c r="L67">
        <f>IF(I67="","",J67)</f>
      </c>
    </row>
    <row r="68" spans="1:12" x14ac:dyDescent="0.25">
      <c r="A68">
        <f>IFERROR(INDEX($N$5:$Q$204,64,1),"")</f>
      </c>
      <c r="B68">
        <f>IFERROR(INDEX($N$5:$Q$204,64,2),"")</f>
      </c>
      <c r="C68">
        <f>IFERROR(INDEX($N$5:$Q$204,64,3),"")</f>
      </c>
      <c r="D68">
        <f>IFERROR(INDEX($N$5:$Q$204,64,4),"")</f>
      </c>
      <c r="H68">
        <f>IF(I68="","",64)</f>
      </c>
      <c r="I68">
        <f>IFERROR(INDEX(_xlfn.UNIQUE(_xlfn.FILTER('기록'!$C$2:$C$181,('기록'!$C$2:$C$181&lt;&gt;"")*('기록'!$A$2:$A$181&gt;=$B$1)*('기록'!$A$2:$A$181&lt;=$B$2))),64),"")</f>
      </c>
      <c r="J68">
        <f>IF(I68="","",SUMIFS('기록'!$G:$G,'기록'!$C:$C,I68,'기록'!$A:$A,"&gt;="&amp;$B$1,'기록'!$A:$A,"&lt;="&amp;$B$2))</f>
      </c>
      <c r="K68">
        <f>IF(I68="","",COUNTA(_xlfn.UNIQUE(_xlfn.FILTER('기록'!$A:$A,(('기록'!$C:$C=I68)*('기록'!$A:$A&gt;=$B$1)*('기록'!$A:$A&lt;=$B$2))))))</f>
      </c>
      <c r="L68">
        <f>IF(I68="","",J68)</f>
      </c>
    </row>
    <row r="69" spans="1:12" x14ac:dyDescent="0.25">
      <c r="A69">
        <f>IFERROR(INDEX($N$5:$Q$204,65,1),"")</f>
      </c>
      <c r="B69">
        <f>IFERROR(INDEX($N$5:$Q$204,65,2),"")</f>
      </c>
      <c r="C69">
        <f>IFERROR(INDEX($N$5:$Q$204,65,3),"")</f>
      </c>
      <c r="D69">
        <f>IFERROR(INDEX($N$5:$Q$204,65,4),"")</f>
      </c>
      <c r="H69">
        <f>IF(I69="","",65)</f>
      </c>
      <c r="I69">
        <f>IFERROR(INDEX(_xlfn.UNIQUE(_xlfn.FILTER('기록'!$C$2:$C$181,('기록'!$C$2:$C$181&lt;&gt;"")*('기록'!$A$2:$A$181&gt;=$B$1)*('기록'!$A$2:$A$181&lt;=$B$2))),65),"")</f>
      </c>
      <c r="J69">
        <f>IF(I69="","",SUMIFS('기록'!$G:$G,'기록'!$C:$C,I69,'기록'!$A:$A,"&gt;="&amp;$B$1,'기록'!$A:$A,"&lt;="&amp;$B$2))</f>
      </c>
      <c r="K69">
        <f>IF(I69="","",COUNTA(_xlfn.UNIQUE(_xlfn.FILTER('기록'!$A:$A,(('기록'!$C:$C=I69)*('기록'!$A:$A&gt;=$B$1)*('기록'!$A:$A&lt;=$B$2))))))</f>
      </c>
      <c r="L69">
        <f>IF(I69="","",J69)</f>
      </c>
    </row>
    <row r="70" spans="1:12" x14ac:dyDescent="0.25">
      <c r="A70">
        <f>IFERROR(INDEX($N$5:$Q$204,66,1),"")</f>
      </c>
      <c r="B70">
        <f>IFERROR(INDEX($N$5:$Q$204,66,2),"")</f>
      </c>
      <c r="C70">
        <f>IFERROR(INDEX($N$5:$Q$204,66,3),"")</f>
      </c>
      <c r="D70">
        <f>IFERROR(INDEX($N$5:$Q$204,66,4),"")</f>
      </c>
      <c r="H70">
        <f>IF(I70="","",66)</f>
      </c>
      <c r="I70">
        <f>IFERROR(INDEX(_xlfn.UNIQUE(_xlfn.FILTER('기록'!$C$2:$C$181,('기록'!$C$2:$C$181&lt;&gt;"")*('기록'!$A$2:$A$181&gt;=$B$1)*('기록'!$A$2:$A$181&lt;=$B$2))),66),"")</f>
      </c>
      <c r="J70">
        <f>IF(I70="","",SUMIFS('기록'!$G:$G,'기록'!$C:$C,I70,'기록'!$A:$A,"&gt;="&amp;$B$1,'기록'!$A:$A,"&lt;="&amp;$B$2))</f>
      </c>
      <c r="K70">
        <f>IF(I70="","",COUNTA(_xlfn.UNIQUE(_xlfn.FILTER('기록'!$A:$A,(('기록'!$C:$C=I70)*('기록'!$A:$A&gt;=$B$1)*('기록'!$A:$A&lt;=$B$2))))))</f>
      </c>
      <c r="L70">
        <f>IF(I70="","",J70)</f>
      </c>
    </row>
    <row r="71" spans="1:12" x14ac:dyDescent="0.25">
      <c r="A71">
        <f>IFERROR(INDEX($N$5:$Q$204,67,1),"")</f>
      </c>
      <c r="B71">
        <f>IFERROR(INDEX($N$5:$Q$204,67,2),"")</f>
      </c>
      <c r="C71">
        <f>IFERROR(INDEX($N$5:$Q$204,67,3),"")</f>
      </c>
      <c r="D71">
        <f>IFERROR(INDEX($N$5:$Q$204,67,4),"")</f>
      </c>
      <c r="H71">
        <f>IF(I71="","",67)</f>
      </c>
      <c r="I71">
        <f>IFERROR(INDEX(_xlfn.UNIQUE(_xlfn.FILTER('기록'!$C$2:$C$181,('기록'!$C$2:$C$181&lt;&gt;"")*('기록'!$A$2:$A$181&gt;=$B$1)*('기록'!$A$2:$A$181&lt;=$B$2))),67),"")</f>
      </c>
      <c r="J71">
        <f>IF(I71="","",SUMIFS('기록'!$G:$G,'기록'!$C:$C,I71,'기록'!$A:$A,"&gt;="&amp;$B$1,'기록'!$A:$A,"&lt;="&amp;$B$2))</f>
      </c>
      <c r="K71">
        <f>IF(I71="","",COUNTA(_xlfn.UNIQUE(_xlfn.FILTER('기록'!$A:$A,(('기록'!$C:$C=I71)*('기록'!$A:$A&gt;=$B$1)*('기록'!$A:$A&lt;=$B$2))))))</f>
      </c>
      <c r="L71">
        <f>IF(I71="","",J71)</f>
      </c>
    </row>
    <row r="72" spans="1:12" x14ac:dyDescent="0.25">
      <c r="A72">
        <f>IFERROR(INDEX($N$5:$Q$204,68,1),"")</f>
      </c>
      <c r="B72">
        <f>IFERROR(INDEX($N$5:$Q$204,68,2),"")</f>
      </c>
      <c r="C72">
        <f>IFERROR(INDEX($N$5:$Q$204,68,3),"")</f>
      </c>
      <c r="D72">
        <f>IFERROR(INDEX($N$5:$Q$204,68,4),"")</f>
      </c>
      <c r="H72">
        <f>IF(I72="","",68)</f>
      </c>
      <c r="I72">
        <f>IFERROR(INDEX(_xlfn.UNIQUE(_xlfn.FILTER('기록'!$C$2:$C$181,('기록'!$C$2:$C$181&lt;&gt;"")*('기록'!$A$2:$A$181&gt;=$B$1)*('기록'!$A$2:$A$181&lt;=$B$2))),68),"")</f>
      </c>
      <c r="J72">
        <f>IF(I72="","",SUMIFS('기록'!$G:$G,'기록'!$C:$C,I72,'기록'!$A:$A,"&gt;="&amp;$B$1,'기록'!$A:$A,"&lt;="&amp;$B$2))</f>
      </c>
      <c r="K72">
        <f>IF(I72="","",COUNTA(_xlfn.UNIQUE(_xlfn.FILTER('기록'!$A:$A,(('기록'!$C:$C=I72)*('기록'!$A:$A&gt;=$B$1)*('기록'!$A:$A&lt;=$B$2))))))</f>
      </c>
      <c r="L72">
        <f>IF(I72="","",J72)</f>
      </c>
    </row>
    <row r="73" spans="1:12" x14ac:dyDescent="0.25">
      <c r="A73">
        <f>IFERROR(INDEX($N$5:$Q$204,69,1),"")</f>
      </c>
      <c r="B73">
        <f>IFERROR(INDEX($N$5:$Q$204,69,2),"")</f>
      </c>
      <c r="C73">
        <f>IFERROR(INDEX($N$5:$Q$204,69,3),"")</f>
      </c>
      <c r="D73">
        <f>IFERROR(INDEX($N$5:$Q$204,69,4),"")</f>
      </c>
      <c r="H73">
        <f>IF(I73="","",69)</f>
      </c>
      <c r="I73">
        <f>IFERROR(INDEX(_xlfn.UNIQUE(_xlfn.FILTER('기록'!$C$2:$C$181,('기록'!$C$2:$C$181&lt;&gt;"")*('기록'!$A$2:$A$181&gt;=$B$1)*('기록'!$A$2:$A$181&lt;=$B$2))),69),"")</f>
      </c>
      <c r="J73">
        <f>IF(I73="","",SUMIFS('기록'!$G:$G,'기록'!$C:$C,I73,'기록'!$A:$A,"&gt;="&amp;$B$1,'기록'!$A:$A,"&lt;="&amp;$B$2))</f>
      </c>
      <c r="K73">
        <f>IF(I73="","",COUNTA(_xlfn.UNIQUE(_xlfn.FILTER('기록'!$A:$A,(('기록'!$C:$C=I73)*('기록'!$A:$A&gt;=$B$1)*('기록'!$A:$A&lt;=$B$2))))))</f>
      </c>
      <c r="L73">
        <f>IF(I73="","",J73)</f>
      </c>
    </row>
    <row r="74" spans="1:12" x14ac:dyDescent="0.25">
      <c r="A74">
        <f>IFERROR(INDEX($N$5:$Q$204,70,1),"")</f>
      </c>
      <c r="B74">
        <f>IFERROR(INDEX($N$5:$Q$204,70,2),"")</f>
      </c>
      <c r="C74">
        <f>IFERROR(INDEX($N$5:$Q$204,70,3),"")</f>
      </c>
      <c r="D74">
        <f>IFERROR(INDEX($N$5:$Q$204,70,4),"")</f>
      </c>
      <c r="H74">
        <f>IF(I74="","",70)</f>
      </c>
      <c r="I74">
        <f>IFERROR(INDEX(_xlfn.UNIQUE(_xlfn.FILTER('기록'!$C$2:$C$181,('기록'!$C$2:$C$181&lt;&gt;"")*('기록'!$A$2:$A$181&gt;=$B$1)*('기록'!$A$2:$A$181&lt;=$B$2))),70),"")</f>
      </c>
      <c r="J74">
        <f>IF(I74="","",SUMIFS('기록'!$G:$G,'기록'!$C:$C,I74,'기록'!$A:$A,"&gt;="&amp;$B$1,'기록'!$A:$A,"&lt;="&amp;$B$2))</f>
      </c>
      <c r="K74">
        <f>IF(I74="","",COUNTA(_xlfn.UNIQUE(_xlfn.FILTER('기록'!$A:$A,(('기록'!$C:$C=I74)*('기록'!$A:$A&gt;=$B$1)*('기록'!$A:$A&lt;=$B$2))))))</f>
      </c>
      <c r="L74">
        <f>IF(I74="","",J74)</f>
      </c>
    </row>
    <row r="75" spans="1:12" x14ac:dyDescent="0.25">
      <c r="A75">
        <f>IFERROR(INDEX($N$5:$Q$204,71,1),"")</f>
      </c>
      <c r="B75">
        <f>IFERROR(INDEX($N$5:$Q$204,71,2),"")</f>
      </c>
      <c r="C75">
        <f>IFERROR(INDEX($N$5:$Q$204,71,3),"")</f>
      </c>
      <c r="D75">
        <f>IFERROR(INDEX($N$5:$Q$204,71,4),"")</f>
      </c>
      <c r="H75">
        <f>IF(I75="","",71)</f>
      </c>
      <c r="I75">
        <f>IFERROR(INDEX(_xlfn.UNIQUE(_xlfn.FILTER('기록'!$C$2:$C$181,('기록'!$C$2:$C$181&lt;&gt;"")*('기록'!$A$2:$A$181&gt;=$B$1)*('기록'!$A$2:$A$181&lt;=$B$2))),71),"")</f>
      </c>
      <c r="J75">
        <f>IF(I75="","",SUMIFS('기록'!$G:$G,'기록'!$C:$C,I75,'기록'!$A:$A,"&gt;="&amp;$B$1,'기록'!$A:$A,"&lt;="&amp;$B$2))</f>
      </c>
      <c r="K75">
        <f>IF(I75="","",COUNTA(_xlfn.UNIQUE(_xlfn.FILTER('기록'!$A:$A,(('기록'!$C:$C=I75)*('기록'!$A:$A&gt;=$B$1)*('기록'!$A:$A&lt;=$B$2))))))</f>
      </c>
      <c r="L75">
        <f>IF(I75="","",J75)</f>
      </c>
    </row>
    <row r="76" spans="1:12" x14ac:dyDescent="0.25">
      <c r="A76">
        <f>IFERROR(INDEX($N$5:$Q$204,72,1),"")</f>
      </c>
      <c r="B76">
        <f>IFERROR(INDEX($N$5:$Q$204,72,2),"")</f>
      </c>
      <c r="C76">
        <f>IFERROR(INDEX($N$5:$Q$204,72,3),"")</f>
      </c>
      <c r="D76">
        <f>IFERROR(INDEX($N$5:$Q$204,72,4),"")</f>
      </c>
      <c r="H76">
        <f>IF(I76="","",72)</f>
      </c>
      <c r="I76">
        <f>IFERROR(INDEX(_xlfn.UNIQUE(_xlfn.FILTER('기록'!$C$2:$C$181,('기록'!$C$2:$C$181&lt;&gt;"")*('기록'!$A$2:$A$181&gt;=$B$1)*('기록'!$A$2:$A$181&lt;=$B$2))),72),"")</f>
      </c>
      <c r="J76">
        <f>IF(I76="","",SUMIFS('기록'!$G:$G,'기록'!$C:$C,I76,'기록'!$A:$A,"&gt;="&amp;$B$1,'기록'!$A:$A,"&lt;="&amp;$B$2))</f>
      </c>
      <c r="K76">
        <f>IF(I76="","",COUNTA(_xlfn.UNIQUE(_xlfn.FILTER('기록'!$A:$A,(('기록'!$C:$C=I76)*('기록'!$A:$A&gt;=$B$1)*('기록'!$A:$A&lt;=$B$2))))))</f>
      </c>
      <c r="L76">
        <f>IF(I76="","",J76)</f>
      </c>
    </row>
    <row r="77" spans="1:12" x14ac:dyDescent="0.25">
      <c r="A77">
        <f>IFERROR(INDEX($N$5:$Q$204,73,1),"")</f>
      </c>
      <c r="B77">
        <f>IFERROR(INDEX($N$5:$Q$204,73,2),"")</f>
      </c>
      <c r="C77">
        <f>IFERROR(INDEX($N$5:$Q$204,73,3),"")</f>
      </c>
      <c r="D77">
        <f>IFERROR(INDEX($N$5:$Q$204,73,4),"")</f>
      </c>
      <c r="H77">
        <f>IF(I77="","",73)</f>
      </c>
      <c r="I77">
        <f>IFERROR(INDEX(_xlfn.UNIQUE(_xlfn.FILTER('기록'!$C$2:$C$181,('기록'!$C$2:$C$181&lt;&gt;"")*('기록'!$A$2:$A$181&gt;=$B$1)*('기록'!$A$2:$A$181&lt;=$B$2))),73),"")</f>
      </c>
      <c r="J77">
        <f>IF(I77="","",SUMIFS('기록'!$G:$G,'기록'!$C:$C,I77,'기록'!$A:$A,"&gt;="&amp;$B$1,'기록'!$A:$A,"&lt;="&amp;$B$2))</f>
      </c>
      <c r="K77">
        <f>IF(I77="","",COUNTA(_xlfn.UNIQUE(_xlfn.FILTER('기록'!$A:$A,(('기록'!$C:$C=I77)*('기록'!$A:$A&gt;=$B$1)*('기록'!$A:$A&lt;=$B$2))))))</f>
      </c>
      <c r="L77">
        <f>IF(I77="","",J77)</f>
      </c>
    </row>
    <row r="78" spans="1:12" x14ac:dyDescent="0.25">
      <c r="A78">
        <f>IFERROR(INDEX($N$5:$Q$204,74,1),"")</f>
      </c>
      <c r="B78">
        <f>IFERROR(INDEX($N$5:$Q$204,74,2),"")</f>
      </c>
      <c r="C78">
        <f>IFERROR(INDEX($N$5:$Q$204,74,3),"")</f>
      </c>
      <c r="D78">
        <f>IFERROR(INDEX($N$5:$Q$204,74,4),"")</f>
      </c>
      <c r="H78">
        <f>IF(I78="","",74)</f>
      </c>
      <c r="I78">
        <f>IFERROR(INDEX(_xlfn.UNIQUE(_xlfn.FILTER('기록'!$C$2:$C$181,('기록'!$C$2:$C$181&lt;&gt;"")*('기록'!$A$2:$A$181&gt;=$B$1)*('기록'!$A$2:$A$181&lt;=$B$2))),74),"")</f>
      </c>
      <c r="J78">
        <f>IF(I78="","",SUMIFS('기록'!$G:$G,'기록'!$C:$C,I78,'기록'!$A:$A,"&gt;="&amp;$B$1,'기록'!$A:$A,"&lt;="&amp;$B$2))</f>
      </c>
      <c r="K78">
        <f>IF(I78="","",COUNTA(_xlfn.UNIQUE(_xlfn.FILTER('기록'!$A:$A,(('기록'!$C:$C=I78)*('기록'!$A:$A&gt;=$B$1)*('기록'!$A:$A&lt;=$B$2))))))</f>
      </c>
      <c r="L78">
        <f>IF(I78="","",J78)</f>
      </c>
    </row>
    <row r="79" spans="1:12" x14ac:dyDescent="0.25">
      <c r="A79">
        <f>IFERROR(INDEX($N$5:$Q$204,75,1),"")</f>
      </c>
      <c r="B79">
        <f>IFERROR(INDEX($N$5:$Q$204,75,2),"")</f>
      </c>
      <c r="C79">
        <f>IFERROR(INDEX($N$5:$Q$204,75,3),"")</f>
      </c>
      <c r="D79">
        <f>IFERROR(INDEX($N$5:$Q$204,75,4),"")</f>
      </c>
      <c r="H79">
        <f>IF(I79="","",75)</f>
      </c>
      <c r="I79">
        <f>IFERROR(INDEX(_xlfn.UNIQUE(_xlfn.FILTER('기록'!$C$2:$C$181,('기록'!$C$2:$C$181&lt;&gt;"")*('기록'!$A$2:$A$181&gt;=$B$1)*('기록'!$A$2:$A$181&lt;=$B$2))),75),"")</f>
      </c>
      <c r="J79">
        <f>IF(I79="","",SUMIFS('기록'!$G:$G,'기록'!$C:$C,I79,'기록'!$A:$A,"&gt;="&amp;$B$1,'기록'!$A:$A,"&lt;="&amp;$B$2))</f>
      </c>
      <c r="K79">
        <f>IF(I79="","",COUNTA(_xlfn.UNIQUE(_xlfn.FILTER('기록'!$A:$A,(('기록'!$C:$C=I79)*('기록'!$A:$A&gt;=$B$1)*('기록'!$A:$A&lt;=$B$2))))))</f>
      </c>
      <c r="L79">
        <f>IF(I79="","",J79)</f>
      </c>
    </row>
    <row r="80" spans="1:12" x14ac:dyDescent="0.25">
      <c r="A80">
        <f>IFERROR(INDEX($N$5:$Q$204,76,1),"")</f>
      </c>
      <c r="B80">
        <f>IFERROR(INDEX($N$5:$Q$204,76,2),"")</f>
      </c>
      <c r="C80">
        <f>IFERROR(INDEX($N$5:$Q$204,76,3),"")</f>
      </c>
      <c r="D80">
        <f>IFERROR(INDEX($N$5:$Q$204,76,4),"")</f>
      </c>
      <c r="H80">
        <f>IF(I80="","",76)</f>
      </c>
      <c r="I80">
        <f>IFERROR(INDEX(_xlfn.UNIQUE(_xlfn.FILTER('기록'!$C$2:$C$181,('기록'!$C$2:$C$181&lt;&gt;"")*('기록'!$A$2:$A$181&gt;=$B$1)*('기록'!$A$2:$A$181&lt;=$B$2))),76),"")</f>
      </c>
      <c r="J80">
        <f>IF(I80="","",SUMIFS('기록'!$G:$G,'기록'!$C:$C,I80,'기록'!$A:$A,"&gt;="&amp;$B$1,'기록'!$A:$A,"&lt;="&amp;$B$2))</f>
      </c>
      <c r="K80">
        <f>IF(I80="","",COUNTA(_xlfn.UNIQUE(_xlfn.FILTER('기록'!$A:$A,(('기록'!$C:$C=I80)*('기록'!$A:$A&gt;=$B$1)*('기록'!$A:$A&lt;=$B$2))))))</f>
      </c>
      <c r="L80">
        <f>IF(I80="","",J80)</f>
      </c>
    </row>
    <row r="81" spans="1:12" x14ac:dyDescent="0.25">
      <c r="A81">
        <f>IFERROR(INDEX($N$5:$Q$204,77,1),"")</f>
      </c>
      <c r="B81">
        <f>IFERROR(INDEX($N$5:$Q$204,77,2),"")</f>
      </c>
      <c r="C81">
        <f>IFERROR(INDEX($N$5:$Q$204,77,3),"")</f>
      </c>
      <c r="D81">
        <f>IFERROR(INDEX($N$5:$Q$204,77,4),"")</f>
      </c>
      <c r="H81">
        <f>IF(I81="","",77)</f>
      </c>
      <c r="I81">
        <f>IFERROR(INDEX(_xlfn.UNIQUE(_xlfn.FILTER('기록'!$C$2:$C$181,('기록'!$C$2:$C$181&lt;&gt;"")*('기록'!$A$2:$A$181&gt;=$B$1)*('기록'!$A$2:$A$181&lt;=$B$2))),77),"")</f>
      </c>
      <c r="J81">
        <f>IF(I81="","",SUMIFS('기록'!$G:$G,'기록'!$C:$C,I81,'기록'!$A:$A,"&gt;="&amp;$B$1,'기록'!$A:$A,"&lt;="&amp;$B$2))</f>
      </c>
      <c r="K81">
        <f>IF(I81="","",COUNTA(_xlfn.UNIQUE(_xlfn.FILTER('기록'!$A:$A,(('기록'!$C:$C=I81)*('기록'!$A:$A&gt;=$B$1)*('기록'!$A:$A&lt;=$B$2))))))</f>
      </c>
      <c r="L81">
        <f>IF(I81="","",J81)</f>
      </c>
    </row>
    <row r="82" spans="1:12" x14ac:dyDescent="0.25">
      <c r="A82">
        <f>IFERROR(INDEX($N$5:$Q$204,78,1),"")</f>
      </c>
      <c r="B82">
        <f>IFERROR(INDEX($N$5:$Q$204,78,2),"")</f>
      </c>
      <c r="C82">
        <f>IFERROR(INDEX($N$5:$Q$204,78,3),"")</f>
      </c>
      <c r="D82">
        <f>IFERROR(INDEX($N$5:$Q$204,78,4),"")</f>
      </c>
      <c r="H82">
        <f>IF(I82="","",78)</f>
      </c>
      <c r="I82">
        <f>IFERROR(INDEX(_xlfn.UNIQUE(_xlfn.FILTER('기록'!$C$2:$C$181,('기록'!$C$2:$C$181&lt;&gt;"")*('기록'!$A$2:$A$181&gt;=$B$1)*('기록'!$A$2:$A$181&lt;=$B$2))),78),"")</f>
      </c>
      <c r="J82">
        <f>IF(I82="","",SUMIFS('기록'!$G:$G,'기록'!$C:$C,I82,'기록'!$A:$A,"&gt;="&amp;$B$1,'기록'!$A:$A,"&lt;="&amp;$B$2))</f>
      </c>
      <c r="K82">
        <f>IF(I82="","",COUNTA(_xlfn.UNIQUE(_xlfn.FILTER('기록'!$A:$A,(('기록'!$C:$C=I82)*('기록'!$A:$A&gt;=$B$1)*('기록'!$A:$A&lt;=$B$2))))))</f>
      </c>
      <c r="L82">
        <f>IF(I82="","",J82)</f>
      </c>
    </row>
    <row r="83" spans="1:12" x14ac:dyDescent="0.25">
      <c r="A83">
        <f>IFERROR(INDEX($N$5:$Q$204,79,1),"")</f>
      </c>
      <c r="B83">
        <f>IFERROR(INDEX($N$5:$Q$204,79,2),"")</f>
      </c>
      <c r="C83">
        <f>IFERROR(INDEX($N$5:$Q$204,79,3),"")</f>
      </c>
      <c r="D83">
        <f>IFERROR(INDEX($N$5:$Q$204,79,4),"")</f>
      </c>
      <c r="H83">
        <f>IF(I83="","",79)</f>
      </c>
      <c r="I83">
        <f>IFERROR(INDEX(_xlfn.UNIQUE(_xlfn.FILTER('기록'!$C$2:$C$181,('기록'!$C$2:$C$181&lt;&gt;"")*('기록'!$A$2:$A$181&gt;=$B$1)*('기록'!$A$2:$A$181&lt;=$B$2))),79),"")</f>
      </c>
      <c r="J83">
        <f>IF(I83="","",SUMIFS('기록'!$G:$G,'기록'!$C:$C,I83,'기록'!$A:$A,"&gt;="&amp;$B$1,'기록'!$A:$A,"&lt;="&amp;$B$2))</f>
      </c>
      <c r="K83">
        <f>IF(I83="","",COUNTA(_xlfn.UNIQUE(_xlfn.FILTER('기록'!$A:$A,(('기록'!$C:$C=I83)*('기록'!$A:$A&gt;=$B$1)*('기록'!$A:$A&lt;=$B$2))))))</f>
      </c>
      <c r="L83">
        <f>IF(I83="","",J83)</f>
      </c>
    </row>
    <row r="84" spans="1:12" x14ac:dyDescent="0.25">
      <c r="A84">
        <f>IFERROR(INDEX($N$5:$Q$204,80,1),"")</f>
      </c>
      <c r="B84">
        <f>IFERROR(INDEX($N$5:$Q$204,80,2),"")</f>
      </c>
      <c r="C84">
        <f>IFERROR(INDEX($N$5:$Q$204,80,3),"")</f>
      </c>
      <c r="D84">
        <f>IFERROR(INDEX($N$5:$Q$204,80,4),"")</f>
      </c>
      <c r="H84">
        <f>IF(I84="","",80)</f>
      </c>
      <c r="I84">
        <f>IFERROR(INDEX(_xlfn.UNIQUE(_xlfn.FILTER('기록'!$C$2:$C$181,('기록'!$C$2:$C$181&lt;&gt;"")*('기록'!$A$2:$A$181&gt;=$B$1)*('기록'!$A$2:$A$181&lt;=$B$2))),80),"")</f>
      </c>
      <c r="J84">
        <f>IF(I84="","",SUMIFS('기록'!$G:$G,'기록'!$C:$C,I84,'기록'!$A:$A,"&gt;="&amp;$B$1,'기록'!$A:$A,"&lt;="&amp;$B$2))</f>
      </c>
      <c r="K84">
        <f>IF(I84="","",COUNTA(_xlfn.UNIQUE(_xlfn.FILTER('기록'!$A:$A,(('기록'!$C:$C=I84)*('기록'!$A:$A&gt;=$B$1)*('기록'!$A:$A&lt;=$B$2))))))</f>
      </c>
      <c r="L84">
        <f>IF(I84="","",J84)</f>
      </c>
    </row>
    <row r="85" spans="1:12" x14ac:dyDescent="0.25">
      <c r="A85">
        <f>IFERROR(INDEX($N$5:$Q$204,81,1),"")</f>
      </c>
      <c r="B85">
        <f>IFERROR(INDEX($N$5:$Q$204,81,2),"")</f>
      </c>
      <c r="C85">
        <f>IFERROR(INDEX($N$5:$Q$204,81,3),"")</f>
      </c>
      <c r="D85">
        <f>IFERROR(INDEX($N$5:$Q$204,81,4),"")</f>
      </c>
      <c r="H85">
        <f>IF(I85="","",81)</f>
      </c>
      <c r="I85">
        <f>IFERROR(INDEX(_xlfn.UNIQUE(_xlfn.FILTER('기록'!$C$2:$C$181,('기록'!$C$2:$C$181&lt;&gt;"")*('기록'!$A$2:$A$181&gt;=$B$1)*('기록'!$A$2:$A$181&lt;=$B$2))),81),"")</f>
      </c>
      <c r="J85">
        <f>IF(I85="","",SUMIFS('기록'!$G:$G,'기록'!$C:$C,I85,'기록'!$A:$A,"&gt;="&amp;$B$1,'기록'!$A:$A,"&lt;="&amp;$B$2))</f>
      </c>
      <c r="K85">
        <f>IF(I85="","",COUNTA(_xlfn.UNIQUE(_xlfn.FILTER('기록'!$A:$A,(('기록'!$C:$C=I85)*('기록'!$A:$A&gt;=$B$1)*('기록'!$A:$A&lt;=$B$2))))))</f>
      </c>
      <c r="L85">
        <f>IF(I85="","",J85)</f>
      </c>
    </row>
    <row r="86" spans="1:12" x14ac:dyDescent="0.25">
      <c r="A86">
        <f>IFERROR(INDEX($N$5:$Q$204,82,1),"")</f>
      </c>
      <c r="B86">
        <f>IFERROR(INDEX($N$5:$Q$204,82,2),"")</f>
      </c>
      <c r="C86">
        <f>IFERROR(INDEX($N$5:$Q$204,82,3),"")</f>
      </c>
      <c r="D86">
        <f>IFERROR(INDEX($N$5:$Q$204,82,4),"")</f>
      </c>
      <c r="H86">
        <f>IF(I86="","",82)</f>
      </c>
      <c r="I86">
        <f>IFERROR(INDEX(_xlfn.UNIQUE(_xlfn.FILTER('기록'!$C$2:$C$181,('기록'!$C$2:$C$181&lt;&gt;"")*('기록'!$A$2:$A$181&gt;=$B$1)*('기록'!$A$2:$A$181&lt;=$B$2))),82),"")</f>
      </c>
      <c r="J86">
        <f>IF(I86="","",SUMIFS('기록'!$G:$G,'기록'!$C:$C,I86,'기록'!$A:$A,"&gt;="&amp;$B$1,'기록'!$A:$A,"&lt;="&amp;$B$2))</f>
      </c>
      <c r="K86">
        <f>IF(I86="","",COUNTA(_xlfn.UNIQUE(_xlfn.FILTER('기록'!$A:$A,(('기록'!$C:$C=I86)*('기록'!$A:$A&gt;=$B$1)*('기록'!$A:$A&lt;=$B$2))))))</f>
      </c>
      <c r="L86">
        <f>IF(I86="","",J86)</f>
      </c>
    </row>
    <row r="87" spans="1:12" x14ac:dyDescent="0.25">
      <c r="A87">
        <f>IFERROR(INDEX($N$5:$Q$204,83,1),"")</f>
      </c>
      <c r="B87">
        <f>IFERROR(INDEX($N$5:$Q$204,83,2),"")</f>
      </c>
      <c r="C87">
        <f>IFERROR(INDEX($N$5:$Q$204,83,3),"")</f>
      </c>
      <c r="D87">
        <f>IFERROR(INDEX($N$5:$Q$204,83,4),"")</f>
      </c>
      <c r="H87">
        <f>IF(I87="","",83)</f>
      </c>
      <c r="I87">
        <f>IFERROR(INDEX(_xlfn.UNIQUE(_xlfn.FILTER('기록'!$C$2:$C$181,('기록'!$C$2:$C$181&lt;&gt;"")*('기록'!$A$2:$A$181&gt;=$B$1)*('기록'!$A$2:$A$181&lt;=$B$2))),83),"")</f>
      </c>
      <c r="J87">
        <f>IF(I87="","",SUMIFS('기록'!$G:$G,'기록'!$C:$C,I87,'기록'!$A:$A,"&gt;="&amp;$B$1,'기록'!$A:$A,"&lt;="&amp;$B$2))</f>
      </c>
      <c r="K87">
        <f>IF(I87="","",COUNTA(_xlfn.UNIQUE(_xlfn.FILTER('기록'!$A:$A,(('기록'!$C:$C=I87)*('기록'!$A:$A&gt;=$B$1)*('기록'!$A:$A&lt;=$B$2))))))</f>
      </c>
      <c r="L87">
        <f>IF(I87="","",J87)</f>
      </c>
    </row>
    <row r="88" spans="1:12" x14ac:dyDescent="0.25">
      <c r="A88">
        <f>IFERROR(INDEX($N$5:$Q$204,84,1),"")</f>
      </c>
      <c r="B88">
        <f>IFERROR(INDEX($N$5:$Q$204,84,2),"")</f>
      </c>
      <c r="C88">
        <f>IFERROR(INDEX($N$5:$Q$204,84,3),"")</f>
      </c>
      <c r="D88">
        <f>IFERROR(INDEX($N$5:$Q$204,84,4),"")</f>
      </c>
      <c r="H88">
        <f>IF(I88="","",84)</f>
      </c>
      <c r="I88">
        <f>IFERROR(INDEX(_xlfn.UNIQUE(_xlfn.FILTER('기록'!$C$2:$C$181,('기록'!$C$2:$C$181&lt;&gt;"")*('기록'!$A$2:$A$181&gt;=$B$1)*('기록'!$A$2:$A$181&lt;=$B$2))),84),"")</f>
      </c>
      <c r="J88">
        <f>IF(I88="","",SUMIFS('기록'!$G:$G,'기록'!$C:$C,I88,'기록'!$A:$A,"&gt;="&amp;$B$1,'기록'!$A:$A,"&lt;="&amp;$B$2))</f>
      </c>
      <c r="K88">
        <f>IF(I88="","",COUNTA(_xlfn.UNIQUE(_xlfn.FILTER('기록'!$A:$A,(('기록'!$C:$C=I88)*('기록'!$A:$A&gt;=$B$1)*('기록'!$A:$A&lt;=$B$2))))))</f>
      </c>
      <c r="L88">
        <f>IF(I88="","",J88)</f>
      </c>
    </row>
    <row r="89" spans="1:12" x14ac:dyDescent="0.25">
      <c r="A89">
        <f>IFERROR(INDEX($N$5:$Q$204,85,1),"")</f>
      </c>
      <c r="B89">
        <f>IFERROR(INDEX($N$5:$Q$204,85,2),"")</f>
      </c>
      <c r="C89">
        <f>IFERROR(INDEX($N$5:$Q$204,85,3),"")</f>
      </c>
      <c r="D89">
        <f>IFERROR(INDEX($N$5:$Q$204,85,4),"")</f>
      </c>
      <c r="H89">
        <f>IF(I89="","",85)</f>
      </c>
      <c r="I89">
        <f>IFERROR(INDEX(_xlfn.UNIQUE(_xlfn.FILTER('기록'!$C$2:$C$181,('기록'!$C$2:$C$181&lt;&gt;"")*('기록'!$A$2:$A$181&gt;=$B$1)*('기록'!$A$2:$A$181&lt;=$B$2))),85),"")</f>
      </c>
      <c r="J89">
        <f>IF(I89="","",SUMIFS('기록'!$G:$G,'기록'!$C:$C,I89,'기록'!$A:$A,"&gt;="&amp;$B$1,'기록'!$A:$A,"&lt;="&amp;$B$2))</f>
      </c>
      <c r="K89">
        <f>IF(I89="","",COUNTA(_xlfn.UNIQUE(_xlfn.FILTER('기록'!$A:$A,(('기록'!$C:$C=I89)*('기록'!$A:$A&gt;=$B$1)*('기록'!$A:$A&lt;=$B$2))))))</f>
      </c>
      <c r="L89">
        <f>IF(I89="","",J89)</f>
      </c>
    </row>
    <row r="90" spans="1:12" x14ac:dyDescent="0.25">
      <c r="A90">
        <f>IFERROR(INDEX($N$5:$Q$204,86,1),"")</f>
      </c>
      <c r="B90">
        <f>IFERROR(INDEX($N$5:$Q$204,86,2),"")</f>
      </c>
      <c r="C90">
        <f>IFERROR(INDEX($N$5:$Q$204,86,3),"")</f>
      </c>
      <c r="D90">
        <f>IFERROR(INDEX($N$5:$Q$204,86,4),"")</f>
      </c>
      <c r="H90">
        <f>IF(I90="","",86)</f>
      </c>
      <c r="I90">
        <f>IFERROR(INDEX(_xlfn.UNIQUE(_xlfn.FILTER('기록'!$C$2:$C$181,('기록'!$C$2:$C$181&lt;&gt;"")*('기록'!$A$2:$A$181&gt;=$B$1)*('기록'!$A$2:$A$181&lt;=$B$2))),86),"")</f>
      </c>
      <c r="J90">
        <f>IF(I90="","",SUMIFS('기록'!$G:$G,'기록'!$C:$C,I90,'기록'!$A:$A,"&gt;="&amp;$B$1,'기록'!$A:$A,"&lt;="&amp;$B$2))</f>
      </c>
      <c r="K90">
        <f>IF(I90="","",COUNTA(_xlfn.UNIQUE(_xlfn.FILTER('기록'!$A:$A,(('기록'!$C:$C=I90)*('기록'!$A:$A&gt;=$B$1)*('기록'!$A:$A&lt;=$B$2))))))</f>
      </c>
      <c r="L90">
        <f>IF(I90="","",J90)</f>
      </c>
    </row>
    <row r="91" spans="1:12" x14ac:dyDescent="0.25">
      <c r="A91">
        <f>IFERROR(INDEX($N$5:$Q$204,87,1),"")</f>
      </c>
      <c r="B91">
        <f>IFERROR(INDEX($N$5:$Q$204,87,2),"")</f>
      </c>
      <c r="C91">
        <f>IFERROR(INDEX($N$5:$Q$204,87,3),"")</f>
      </c>
      <c r="D91">
        <f>IFERROR(INDEX($N$5:$Q$204,87,4),"")</f>
      </c>
      <c r="H91">
        <f>IF(I91="","",87)</f>
      </c>
      <c r="I91">
        <f>IFERROR(INDEX(_xlfn.UNIQUE(_xlfn.FILTER('기록'!$C$2:$C$181,('기록'!$C$2:$C$181&lt;&gt;"")*('기록'!$A$2:$A$181&gt;=$B$1)*('기록'!$A$2:$A$181&lt;=$B$2))),87),"")</f>
      </c>
      <c r="J91">
        <f>IF(I91="","",SUMIFS('기록'!$G:$G,'기록'!$C:$C,I91,'기록'!$A:$A,"&gt;="&amp;$B$1,'기록'!$A:$A,"&lt;="&amp;$B$2))</f>
      </c>
      <c r="K91">
        <f>IF(I91="","",COUNTA(_xlfn.UNIQUE(_xlfn.FILTER('기록'!$A:$A,(('기록'!$C:$C=I91)*('기록'!$A:$A&gt;=$B$1)*('기록'!$A:$A&lt;=$B$2))))))</f>
      </c>
      <c r="L91">
        <f>IF(I91="","",J91)</f>
      </c>
    </row>
    <row r="92" spans="1:12" x14ac:dyDescent="0.25">
      <c r="A92">
        <f>IFERROR(INDEX($N$5:$Q$204,88,1),"")</f>
      </c>
      <c r="B92">
        <f>IFERROR(INDEX($N$5:$Q$204,88,2),"")</f>
      </c>
      <c r="C92">
        <f>IFERROR(INDEX($N$5:$Q$204,88,3),"")</f>
      </c>
      <c r="D92">
        <f>IFERROR(INDEX($N$5:$Q$204,88,4),"")</f>
      </c>
      <c r="H92">
        <f>IF(I92="","",88)</f>
      </c>
      <c r="I92">
        <f>IFERROR(INDEX(_xlfn.UNIQUE(_xlfn.FILTER('기록'!$C$2:$C$181,('기록'!$C$2:$C$181&lt;&gt;"")*('기록'!$A$2:$A$181&gt;=$B$1)*('기록'!$A$2:$A$181&lt;=$B$2))),88),"")</f>
      </c>
      <c r="J92">
        <f>IF(I92="","",SUMIFS('기록'!$G:$G,'기록'!$C:$C,I92,'기록'!$A:$A,"&gt;="&amp;$B$1,'기록'!$A:$A,"&lt;="&amp;$B$2))</f>
      </c>
      <c r="K92">
        <f>IF(I92="","",COUNTA(_xlfn.UNIQUE(_xlfn.FILTER('기록'!$A:$A,(('기록'!$C:$C=I92)*('기록'!$A:$A&gt;=$B$1)*('기록'!$A:$A&lt;=$B$2))))))</f>
      </c>
      <c r="L92">
        <f>IF(I92="","",J92)</f>
      </c>
    </row>
    <row r="93" spans="1:12" x14ac:dyDescent="0.25">
      <c r="A93">
        <f>IFERROR(INDEX($N$5:$Q$204,89,1),"")</f>
      </c>
      <c r="B93">
        <f>IFERROR(INDEX($N$5:$Q$204,89,2),"")</f>
      </c>
      <c r="C93">
        <f>IFERROR(INDEX($N$5:$Q$204,89,3),"")</f>
      </c>
      <c r="D93">
        <f>IFERROR(INDEX($N$5:$Q$204,89,4),"")</f>
      </c>
      <c r="H93">
        <f>IF(I93="","",89)</f>
      </c>
      <c r="I93">
        <f>IFERROR(INDEX(_xlfn.UNIQUE(_xlfn.FILTER('기록'!$C$2:$C$181,('기록'!$C$2:$C$181&lt;&gt;"")*('기록'!$A$2:$A$181&gt;=$B$1)*('기록'!$A$2:$A$181&lt;=$B$2))),89),"")</f>
      </c>
      <c r="J93">
        <f>IF(I93="","",SUMIFS('기록'!$G:$G,'기록'!$C:$C,I93,'기록'!$A:$A,"&gt;="&amp;$B$1,'기록'!$A:$A,"&lt;="&amp;$B$2))</f>
      </c>
      <c r="K93">
        <f>IF(I93="","",COUNTA(_xlfn.UNIQUE(_xlfn.FILTER('기록'!$A:$A,(('기록'!$C:$C=I93)*('기록'!$A:$A&gt;=$B$1)*('기록'!$A:$A&lt;=$B$2))))))</f>
      </c>
      <c r="L93">
        <f>IF(I93="","",J93)</f>
      </c>
    </row>
    <row r="94" spans="1:12" x14ac:dyDescent="0.25">
      <c r="A94">
        <f>IFERROR(INDEX($N$5:$Q$204,90,1),"")</f>
      </c>
      <c r="B94">
        <f>IFERROR(INDEX($N$5:$Q$204,90,2),"")</f>
      </c>
      <c r="C94">
        <f>IFERROR(INDEX($N$5:$Q$204,90,3),"")</f>
      </c>
      <c r="D94">
        <f>IFERROR(INDEX($N$5:$Q$204,90,4),"")</f>
      </c>
      <c r="H94">
        <f>IF(I94="","",90)</f>
      </c>
      <c r="I94">
        <f>IFERROR(INDEX(_xlfn.UNIQUE(_xlfn.FILTER('기록'!$C$2:$C$181,('기록'!$C$2:$C$181&lt;&gt;"")*('기록'!$A$2:$A$181&gt;=$B$1)*('기록'!$A$2:$A$181&lt;=$B$2))),90),"")</f>
      </c>
      <c r="J94">
        <f>IF(I94="","",SUMIFS('기록'!$G:$G,'기록'!$C:$C,I94,'기록'!$A:$A,"&gt;="&amp;$B$1,'기록'!$A:$A,"&lt;="&amp;$B$2))</f>
      </c>
      <c r="K94">
        <f>IF(I94="","",COUNTA(_xlfn.UNIQUE(_xlfn.FILTER('기록'!$A:$A,(('기록'!$C:$C=I94)*('기록'!$A:$A&gt;=$B$1)*('기록'!$A:$A&lt;=$B$2))))))</f>
      </c>
      <c r="L94">
        <f>IF(I94="","",J94)</f>
      </c>
    </row>
    <row r="95" spans="1:12" x14ac:dyDescent="0.25">
      <c r="A95">
        <f>IFERROR(INDEX($N$5:$Q$204,91,1),"")</f>
      </c>
      <c r="B95">
        <f>IFERROR(INDEX($N$5:$Q$204,91,2),"")</f>
      </c>
      <c r="C95">
        <f>IFERROR(INDEX($N$5:$Q$204,91,3),"")</f>
      </c>
      <c r="D95">
        <f>IFERROR(INDEX($N$5:$Q$204,91,4),"")</f>
      </c>
      <c r="H95">
        <f>IF(I95="","",91)</f>
      </c>
      <c r="I95">
        <f>IFERROR(INDEX(_xlfn.UNIQUE(_xlfn.FILTER('기록'!$C$2:$C$181,('기록'!$C$2:$C$181&lt;&gt;"")*('기록'!$A$2:$A$181&gt;=$B$1)*('기록'!$A$2:$A$181&lt;=$B$2))),91),"")</f>
      </c>
      <c r="J95">
        <f>IF(I95="","",SUMIFS('기록'!$G:$G,'기록'!$C:$C,I95,'기록'!$A:$A,"&gt;="&amp;$B$1,'기록'!$A:$A,"&lt;="&amp;$B$2))</f>
      </c>
      <c r="K95">
        <f>IF(I95="","",COUNTA(_xlfn.UNIQUE(_xlfn.FILTER('기록'!$A:$A,(('기록'!$C:$C=I95)*('기록'!$A:$A&gt;=$B$1)*('기록'!$A:$A&lt;=$B$2))))))</f>
      </c>
      <c r="L95">
        <f>IF(I95="","",J95)</f>
      </c>
    </row>
    <row r="96" spans="1:12" x14ac:dyDescent="0.25">
      <c r="A96">
        <f>IFERROR(INDEX($N$5:$Q$204,92,1),"")</f>
      </c>
      <c r="B96">
        <f>IFERROR(INDEX($N$5:$Q$204,92,2),"")</f>
      </c>
      <c r="C96">
        <f>IFERROR(INDEX($N$5:$Q$204,92,3),"")</f>
      </c>
      <c r="D96">
        <f>IFERROR(INDEX($N$5:$Q$204,92,4),"")</f>
      </c>
      <c r="H96">
        <f>IF(I96="","",92)</f>
      </c>
      <c r="I96">
        <f>IFERROR(INDEX(_xlfn.UNIQUE(_xlfn.FILTER('기록'!$C$2:$C$181,('기록'!$C$2:$C$181&lt;&gt;"")*('기록'!$A$2:$A$181&gt;=$B$1)*('기록'!$A$2:$A$181&lt;=$B$2))),92),"")</f>
      </c>
      <c r="J96">
        <f>IF(I96="","",SUMIFS('기록'!$G:$G,'기록'!$C:$C,I96,'기록'!$A:$A,"&gt;="&amp;$B$1,'기록'!$A:$A,"&lt;="&amp;$B$2))</f>
      </c>
      <c r="K96">
        <f>IF(I96="","",COUNTA(_xlfn.UNIQUE(_xlfn.FILTER('기록'!$A:$A,(('기록'!$C:$C=I96)*('기록'!$A:$A&gt;=$B$1)*('기록'!$A:$A&lt;=$B$2))))))</f>
      </c>
      <c r="L96">
        <f>IF(I96="","",J96)</f>
      </c>
    </row>
    <row r="97" spans="1:12" x14ac:dyDescent="0.25">
      <c r="A97">
        <f>IFERROR(INDEX($N$5:$Q$204,93,1),"")</f>
      </c>
      <c r="B97">
        <f>IFERROR(INDEX($N$5:$Q$204,93,2),"")</f>
      </c>
      <c r="C97">
        <f>IFERROR(INDEX($N$5:$Q$204,93,3),"")</f>
      </c>
      <c r="D97">
        <f>IFERROR(INDEX($N$5:$Q$204,93,4),"")</f>
      </c>
      <c r="H97">
        <f>IF(I97="","",93)</f>
      </c>
      <c r="I97">
        <f>IFERROR(INDEX(_xlfn.UNIQUE(_xlfn.FILTER('기록'!$C$2:$C$181,('기록'!$C$2:$C$181&lt;&gt;"")*('기록'!$A$2:$A$181&gt;=$B$1)*('기록'!$A$2:$A$181&lt;=$B$2))),93),"")</f>
      </c>
      <c r="J97">
        <f>IF(I97="","",SUMIFS('기록'!$G:$G,'기록'!$C:$C,I97,'기록'!$A:$A,"&gt;="&amp;$B$1,'기록'!$A:$A,"&lt;="&amp;$B$2))</f>
      </c>
      <c r="K97">
        <f>IF(I97="","",COUNTA(_xlfn.UNIQUE(_xlfn.FILTER('기록'!$A:$A,(('기록'!$C:$C=I97)*('기록'!$A:$A&gt;=$B$1)*('기록'!$A:$A&lt;=$B$2))))))</f>
      </c>
      <c r="L97">
        <f>IF(I97="","",J97)</f>
      </c>
    </row>
    <row r="98" spans="1:12" x14ac:dyDescent="0.25">
      <c r="A98">
        <f>IFERROR(INDEX($N$5:$Q$204,94,1),"")</f>
      </c>
      <c r="B98">
        <f>IFERROR(INDEX($N$5:$Q$204,94,2),"")</f>
      </c>
      <c r="C98">
        <f>IFERROR(INDEX($N$5:$Q$204,94,3),"")</f>
      </c>
      <c r="D98">
        <f>IFERROR(INDEX($N$5:$Q$204,94,4),"")</f>
      </c>
      <c r="H98">
        <f>IF(I98="","",94)</f>
      </c>
      <c r="I98">
        <f>IFERROR(INDEX(_xlfn.UNIQUE(_xlfn.FILTER('기록'!$C$2:$C$181,('기록'!$C$2:$C$181&lt;&gt;"")*('기록'!$A$2:$A$181&gt;=$B$1)*('기록'!$A$2:$A$181&lt;=$B$2))),94),"")</f>
      </c>
      <c r="J98">
        <f>IF(I98="","",SUMIFS('기록'!$G:$G,'기록'!$C:$C,I98,'기록'!$A:$A,"&gt;="&amp;$B$1,'기록'!$A:$A,"&lt;="&amp;$B$2))</f>
      </c>
      <c r="K98">
        <f>IF(I98="","",COUNTA(_xlfn.UNIQUE(_xlfn.FILTER('기록'!$A:$A,(('기록'!$C:$C=I98)*('기록'!$A:$A&gt;=$B$1)*('기록'!$A:$A&lt;=$B$2))))))</f>
      </c>
      <c r="L98">
        <f>IF(I98="","",J98)</f>
      </c>
    </row>
    <row r="99" spans="1:12" x14ac:dyDescent="0.25">
      <c r="A99">
        <f>IFERROR(INDEX($N$5:$Q$204,95,1),"")</f>
      </c>
      <c r="B99">
        <f>IFERROR(INDEX($N$5:$Q$204,95,2),"")</f>
      </c>
      <c r="C99">
        <f>IFERROR(INDEX($N$5:$Q$204,95,3),"")</f>
      </c>
      <c r="D99">
        <f>IFERROR(INDEX($N$5:$Q$204,95,4),"")</f>
      </c>
      <c r="H99">
        <f>IF(I99="","",95)</f>
      </c>
      <c r="I99">
        <f>IFERROR(INDEX(_xlfn.UNIQUE(_xlfn.FILTER('기록'!$C$2:$C$181,('기록'!$C$2:$C$181&lt;&gt;"")*('기록'!$A$2:$A$181&gt;=$B$1)*('기록'!$A$2:$A$181&lt;=$B$2))),95),"")</f>
      </c>
      <c r="J99">
        <f>IF(I99="","",SUMIFS('기록'!$G:$G,'기록'!$C:$C,I99,'기록'!$A:$A,"&gt;="&amp;$B$1,'기록'!$A:$A,"&lt;="&amp;$B$2))</f>
      </c>
      <c r="K99">
        <f>IF(I99="","",COUNTA(_xlfn.UNIQUE(_xlfn.FILTER('기록'!$A:$A,(('기록'!$C:$C=I99)*('기록'!$A:$A&gt;=$B$1)*('기록'!$A:$A&lt;=$B$2))))))</f>
      </c>
      <c r="L99">
        <f>IF(I99="","",J99)</f>
      </c>
    </row>
    <row r="100" spans="1:12" x14ac:dyDescent="0.25">
      <c r="A100">
        <f>IFERROR(INDEX($N$5:$Q$204,96,1),"")</f>
      </c>
      <c r="B100">
        <f>IFERROR(INDEX($N$5:$Q$204,96,2),"")</f>
      </c>
      <c r="C100">
        <f>IFERROR(INDEX($N$5:$Q$204,96,3),"")</f>
      </c>
      <c r="D100">
        <f>IFERROR(INDEX($N$5:$Q$204,96,4),"")</f>
      </c>
      <c r="H100">
        <f>IF(I100="","",96)</f>
      </c>
      <c r="I100">
        <f>IFERROR(INDEX(_xlfn.UNIQUE(_xlfn.FILTER('기록'!$C$2:$C$181,('기록'!$C$2:$C$181&lt;&gt;"")*('기록'!$A$2:$A$181&gt;=$B$1)*('기록'!$A$2:$A$181&lt;=$B$2))),96),"")</f>
      </c>
      <c r="J100">
        <f>IF(I100="","",SUMIFS('기록'!$G:$G,'기록'!$C:$C,I100,'기록'!$A:$A,"&gt;="&amp;$B$1,'기록'!$A:$A,"&lt;="&amp;$B$2))</f>
      </c>
      <c r="K100">
        <f>IF(I100="","",COUNTA(_xlfn.UNIQUE(_xlfn.FILTER('기록'!$A:$A,(('기록'!$C:$C=I100)*('기록'!$A:$A&gt;=$B$1)*('기록'!$A:$A&lt;=$B$2))))))</f>
      </c>
      <c r="L100">
        <f>IF(I100="","",J100)</f>
      </c>
    </row>
    <row r="101" spans="1:12" x14ac:dyDescent="0.25">
      <c r="A101">
        <f>IFERROR(INDEX($N$5:$Q$204,97,1),"")</f>
      </c>
      <c r="B101">
        <f>IFERROR(INDEX($N$5:$Q$204,97,2),"")</f>
      </c>
      <c r="C101">
        <f>IFERROR(INDEX($N$5:$Q$204,97,3),"")</f>
      </c>
      <c r="D101">
        <f>IFERROR(INDEX($N$5:$Q$204,97,4),"")</f>
      </c>
      <c r="H101">
        <f>IF(I101="","",97)</f>
      </c>
      <c r="I101">
        <f>IFERROR(INDEX(_xlfn.UNIQUE(_xlfn.FILTER('기록'!$C$2:$C$181,('기록'!$C$2:$C$181&lt;&gt;"")*('기록'!$A$2:$A$181&gt;=$B$1)*('기록'!$A$2:$A$181&lt;=$B$2))),97),"")</f>
      </c>
      <c r="J101">
        <f>IF(I101="","",SUMIFS('기록'!$G:$G,'기록'!$C:$C,I101,'기록'!$A:$A,"&gt;="&amp;$B$1,'기록'!$A:$A,"&lt;="&amp;$B$2))</f>
      </c>
      <c r="K101">
        <f>IF(I101="","",COUNTA(_xlfn.UNIQUE(_xlfn.FILTER('기록'!$A:$A,(('기록'!$C:$C=I101)*('기록'!$A:$A&gt;=$B$1)*('기록'!$A:$A&lt;=$B$2))))))</f>
      </c>
      <c r="L101">
        <f>IF(I101="","",J101)</f>
      </c>
    </row>
    <row r="102" spans="1:12" x14ac:dyDescent="0.25">
      <c r="A102">
        <f>IFERROR(INDEX($N$5:$Q$204,98,1),"")</f>
      </c>
      <c r="B102">
        <f>IFERROR(INDEX($N$5:$Q$204,98,2),"")</f>
      </c>
      <c r="C102">
        <f>IFERROR(INDEX($N$5:$Q$204,98,3),"")</f>
      </c>
      <c r="D102">
        <f>IFERROR(INDEX($N$5:$Q$204,98,4),"")</f>
      </c>
      <c r="H102">
        <f>IF(I102="","",98)</f>
      </c>
      <c r="I102">
        <f>IFERROR(INDEX(_xlfn.UNIQUE(_xlfn.FILTER('기록'!$C$2:$C$181,('기록'!$C$2:$C$181&lt;&gt;"")*('기록'!$A$2:$A$181&gt;=$B$1)*('기록'!$A$2:$A$181&lt;=$B$2))),98),"")</f>
      </c>
      <c r="J102">
        <f>IF(I102="","",SUMIFS('기록'!$G:$G,'기록'!$C:$C,I102,'기록'!$A:$A,"&gt;="&amp;$B$1,'기록'!$A:$A,"&lt;="&amp;$B$2))</f>
      </c>
      <c r="K102">
        <f>IF(I102="","",COUNTA(_xlfn.UNIQUE(_xlfn.FILTER('기록'!$A:$A,(('기록'!$C:$C=I102)*('기록'!$A:$A&gt;=$B$1)*('기록'!$A:$A&lt;=$B$2))))))</f>
      </c>
      <c r="L102">
        <f>IF(I102="","",J102)</f>
      </c>
    </row>
    <row r="103" spans="1:12" x14ac:dyDescent="0.25">
      <c r="A103">
        <f>IFERROR(INDEX($N$5:$Q$204,99,1),"")</f>
      </c>
      <c r="B103">
        <f>IFERROR(INDEX($N$5:$Q$204,99,2),"")</f>
      </c>
      <c r="C103">
        <f>IFERROR(INDEX($N$5:$Q$204,99,3),"")</f>
      </c>
      <c r="D103">
        <f>IFERROR(INDEX($N$5:$Q$204,99,4),"")</f>
      </c>
      <c r="H103">
        <f>IF(I103="","",99)</f>
      </c>
      <c r="I103">
        <f>IFERROR(INDEX(_xlfn.UNIQUE(_xlfn.FILTER('기록'!$C$2:$C$181,('기록'!$C$2:$C$181&lt;&gt;"")*('기록'!$A$2:$A$181&gt;=$B$1)*('기록'!$A$2:$A$181&lt;=$B$2))),99),"")</f>
      </c>
      <c r="J103">
        <f>IF(I103="","",SUMIFS('기록'!$G:$G,'기록'!$C:$C,I103,'기록'!$A:$A,"&gt;="&amp;$B$1,'기록'!$A:$A,"&lt;="&amp;$B$2))</f>
      </c>
      <c r="K103">
        <f>IF(I103="","",COUNTA(_xlfn.UNIQUE(_xlfn.FILTER('기록'!$A:$A,(('기록'!$C:$C=I103)*('기록'!$A:$A&gt;=$B$1)*('기록'!$A:$A&lt;=$B$2))))))</f>
      </c>
      <c r="L103">
        <f>IF(I103="","",J103)</f>
      </c>
    </row>
    <row r="104" spans="1:12" x14ac:dyDescent="0.25">
      <c r="A104">
        <f>IFERROR(INDEX($N$5:$Q$204,100,1),"")</f>
      </c>
      <c r="B104">
        <f>IFERROR(INDEX($N$5:$Q$204,100,2),"")</f>
      </c>
      <c r="C104">
        <f>IFERROR(INDEX($N$5:$Q$204,100,3),"")</f>
      </c>
      <c r="D104">
        <f>IFERROR(INDEX($N$5:$Q$204,100,4),"")</f>
      </c>
      <c r="H104">
        <f>IF(I104="","",100)</f>
      </c>
      <c r="I104">
        <f>IFERROR(INDEX(_xlfn.UNIQUE(_xlfn.FILTER('기록'!$C$2:$C$181,('기록'!$C$2:$C$181&lt;&gt;"")*('기록'!$A$2:$A$181&gt;=$B$1)*('기록'!$A$2:$A$181&lt;=$B$2))),100),"")</f>
      </c>
      <c r="J104">
        <f>IF(I104="","",SUMIFS('기록'!$G:$G,'기록'!$C:$C,I104,'기록'!$A:$A,"&gt;="&amp;$B$1,'기록'!$A:$A,"&lt;="&amp;$B$2))</f>
      </c>
      <c r="K104">
        <f>IF(I104="","",COUNTA(_xlfn.UNIQUE(_xlfn.FILTER('기록'!$A:$A,(('기록'!$C:$C=I104)*('기록'!$A:$A&gt;=$B$1)*('기록'!$A:$A&lt;=$B$2))))))</f>
      </c>
      <c r="L104">
        <f>IF(I104="","",J104)</f>
      </c>
    </row>
    <row r="105" spans="1:12" x14ac:dyDescent="0.25">
      <c r="A105">
        <f>IFERROR(INDEX($N$5:$Q$204,101,1),"")</f>
      </c>
      <c r="B105">
        <f>IFERROR(INDEX($N$5:$Q$204,101,2),"")</f>
      </c>
      <c r="C105">
        <f>IFERROR(INDEX($N$5:$Q$204,101,3),"")</f>
      </c>
      <c r="D105">
        <f>IFERROR(INDEX($N$5:$Q$204,101,4),"")</f>
      </c>
      <c r="H105">
        <f>IF(I105="","",101)</f>
      </c>
      <c r="I105">
        <f>IFERROR(INDEX(_xlfn.UNIQUE(_xlfn.FILTER('기록'!$C$2:$C$181,('기록'!$C$2:$C$181&lt;&gt;"")*('기록'!$A$2:$A$181&gt;=$B$1)*('기록'!$A$2:$A$181&lt;=$B$2))),101),"")</f>
      </c>
      <c r="J105">
        <f>IF(I105="","",SUMIFS('기록'!$G:$G,'기록'!$C:$C,I105,'기록'!$A:$A,"&gt;="&amp;$B$1,'기록'!$A:$A,"&lt;="&amp;$B$2))</f>
      </c>
      <c r="K105">
        <f>IF(I105="","",COUNTA(_xlfn.UNIQUE(_xlfn.FILTER('기록'!$A:$A,(('기록'!$C:$C=I105)*('기록'!$A:$A&gt;=$B$1)*('기록'!$A:$A&lt;=$B$2))))))</f>
      </c>
      <c r="L105">
        <f>IF(I105="","",J105)</f>
      </c>
    </row>
    <row r="106" spans="1:12" x14ac:dyDescent="0.25">
      <c r="A106">
        <f>IFERROR(INDEX($N$5:$Q$204,102,1),"")</f>
      </c>
      <c r="B106">
        <f>IFERROR(INDEX($N$5:$Q$204,102,2),"")</f>
      </c>
      <c r="C106">
        <f>IFERROR(INDEX($N$5:$Q$204,102,3),"")</f>
      </c>
      <c r="D106">
        <f>IFERROR(INDEX($N$5:$Q$204,102,4),"")</f>
      </c>
      <c r="H106">
        <f>IF(I106="","",102)</f>
      </c>
      <c r="I106">
        <f>IFERROR(INDEX(_xlfn.UNIQUE(_xlfn.FILTER('기록'!$C$2:$C$181,('기록'!$C$2:$C$181&lt;&gt;"")*('기록'!$A$2:$A$181&gt;=$B$1)*('기록'!$A$2:$A$181&lt;=$B$2))),102),"")</f>
      </c>
      <c r="J106">
        <f>IF(I106="","",SUMIFS('기록'!$G:$G,'기록'!$C:$C,I106,'기록'!$A:$A,"&gt;="&amp;$B$1,'기록'!$A:$A,"&lt;="&amp;$B$2))</f>
      </c>
      <c r="K106">
        <f>IF(I106="","",COUNTA(_xlfn.UNIQUE(_xlfn.FILTER('기록'!$A:$A,(('기록'!$C:$C=I106)*('기록'!$A:$A&gt;=$B$1)*('기록'!$A:$A&lt;=$B$2))))))</f>
      </c>
      <c r="L106">
        <f>IF(I106="","",J106)</f>
      </c>
    </row>
    <row r="107" spans="1:12" x14ac:dyDescent="0.25">
      <c r="A107">
        <f>IFERROR(INDEX($N$5:$Q$204,103,1),"")</f>
      </c>
      <c r="B107">
        <f>IFERROR(INDEX($N$5:$Q$204,103,2),"")</f>
      </c>
      <c r="C107">
        <f>IFERROR(INDEX($N$5:$Q$204,103,3),"")</f>
      </c>
      <c r="D107">
        <f>IFERROR(INDEX($N$5:$Q$204,103,4),"")</f>
      </c>
      <c r="H107">
        <f>IF(I107="","",103)</f>
      </c>
      <c r="I107">
        <f>IFERROR(INDEX(_xlfn.UNIQUE(_xlfn.FILTER('기록'!$C$2:$C$181,('기록'!$C$2:$C$181&lt;&gt;"")*('기록'!$A$2:$A$181&gt;=$B$1)*('기록'!$A$2:$A$181&lt;=$B$2))),103),"")</f>
      </c>
      <c r="J107">
        <f>IF(I107="","",SUMIFS('기록'!$G:$G,'기록'!$C:$C,I107,'기록'!$A:$A,"&gt;="&amp;$B$1,'기록'!$A:$A,"&lt;="&amp;$B$2))</f>
      </c>
      <c r="K107">
        <f>IF(I107="","",COUNTA(_xlfn.UNIQUE(_xlfn.FILTER('기록'!$A:$A,(('기록'!$C:$C=I107)*('기록'!$A:$A&gt;=$B$1)*('기록'!$A:$A&lt;=$B$2))))))</f>
      </c>
      <c r="L107">
        <f>IF(I107="","",J107)</f>
      </c>
    </row>
    <row r="108" spans="1:12" x14ac:dyDescent="0.25">
      <c r="A108">
        <f>IFERROR(INDEX($N$5:$Q$204,104,1),"")</f>
      </c>
      <c r="B108">
        <f>IFERROR(INDEX($N$5:$Q$204,104,2),"")</f>
      </c>
      <c r="C108">
        <f>IFERROR(INDEX($N$5:$Q$204,104,3),"")</f>
      </c>
      <c r="D108">
        <f>IFERROR(INDEX($N$5:$Q$204,104,4),"")</f>
      </c>
      <c r="H108">
        <f>IF(I108="","",104)</f>
      </c>
      <c r="I108">
        <f>IFERROR(INDEX(_xlfn.UNIQUE(_xlfn.FILTER('기록'!$C$2:$C$181,('기록'!$C$2:$C$181&lt;&gt;"")*('기록'!$A$2:$A$181&gt;=$B$1)*('기록'!$A$2:$A$181&lt;=$B$2))),104),"")</f>
      </c>
      <c r="J108">
        <f>IF(I108="","",SUMIFS('기록'!$G:$G,'기록'!$C:$C,I108,'기록'!$A:$A,"&gt;="&amp;$B$1,'기록'!$A:$A,"&lt;="&amp;$B$2))</f>
      </c>
      <c r="K108">
        <f>IF(I108="","",COUNTA(_xlfn.UNIQUE(_xlfn.FILTER('기록'!$A:$A,(('기록'!$C:$C=I108)*('기록'!$A:$A&gt;=$B$1)*('기록'!$A:$A&lt;=$B$2))))))</f>
      </c>
      <c r="L108">
        <f>IF(I108="","",J108)</f>
      </c>
    </row>
    <row r="109" spans="1:12" x14ac:dyDescent="0.25">
      <c r="A109">
        <f>IFERROR(INDEX($N$5:$Q$204,105,1),"")</f>
      </c>
      <c r="B109">
        <f>IFERROR(INDEX($N$5:$Q$204,105,2),"")</f>
      </c>
      <c r="C109">
        <f>IFERROR(INDEX($N$5:$Q$204,105,3),"")</f>
      </c>
      <c r="D109">
        <f>IFERROR(INDEX($N$5:$Q$204,105,4),"")</f>
      </c>
      <c r="H109">
        <f>IF(I109="","",105)</f>
      </c>
      <c r="I109">
        <f>IFERROR(INDEX(_xlfn.UNIQUE(_xlfn.FILTER('기록'!$C$2:$C$181,('기록'!$C$2:$C$181&lt;&gt;"")*('기록'!$A$2:$A$181&gt;=$B$1)*('기록'!$A$2:$A$181&lt;=$B$2))),105),"")</f>
      </c>
      <c r="J109">
        <f>IF(I109="","",SUMIFS('기록'!$G:$G,'기록'!$C:$C,I109,'기록'!$A:$A,"&gt;="&amp;$B$1,'기록'!$A:$A,"&lt;="&amp;$B$2))</f>
      </c>
      <c r="K109">
        <f>IF(I109="","",COUNTA(_xlfn.UNIQUE(_xlfn.FILTER('기록'!$A:$A,(('기록'!$C:$C=I109)*('기록'!$A:$A&gt;=$B$1)*('기록'!$A:$A&lt;=$B$2))))))</f>
      </c>
      <c r="L109">
        <f>IF(I109="","",J109)</f>
      </c>
    </row>
    <row r="110" spans="1:12" x14ac:dyDescent="0.25">
      <c r="A110">
        <f>IFERROR(INDEX($N$5:$Q$204,106,1),"")</f>
      </c>
      <c r="B110">
        <f>IFERROR(INDEX($N$5:$Q$204,106,2),"")</f>
      </c>
      <c r="C110">
        <f>IFERROR(INDEX($N$5:$Q$204,106,3),"")</f>
      </c>
      <c r="D110">
        <f>IFERROR(INDEX($N$5:$Q$204,106,4),"")</f>
      </c>
      <c r="H110">
        <f>IF(I110="","",106)</f>
      </c>
      <c r="I110">
        <f>IFERROR(INDEX(_xlfn.UNIQUE(_xlfn.FILTER('기록'!$C$2:$C$181,('기록'!$C$2:$C$181&lt;&gt;"")*('기록'!$A$2:$A$181&gt;=$B$1)*('기록'!$A$2:$A$181&lt;=$B$2))),106),"")</f>
      </c>
      <c r="J110">
        <f>IF(I110="","",SUMIFS('기록'!$G:$G,'기록'!$C:$C,I110,'기록'!$A:$A,"&gt;="&amp;$B$1,'기록'!$A:$A,"&lt;="&amp;$B$2))</f>
      </c>
      <c r="K110">
        <f>IF(I110="","",COUNTA(_xlfn.UNIQUE(_xlfn.FILTER('기록'!$A:$A,(('기록'!$C:$C=I110)*('기록'!$A:$A&gt;=$B$1)*('기록'!$A:$A&lt;=$B$2))))))</f>
      </c>
      <c r="L110">
        <f>IF(I110="","",J110)</f>
      </c>
    </row>
    <row r="111" spans="1:12" x14ac:dyDescent="0.25">
      <c r="A111">
        <f>IFERROR(INDEX($N$5:$Q$204,107,1),"")</f>
      </c>
      <c r="B111">
        <f>IFERROR(INDEX($N$5:$Q$204,107,2),"")</f>
      </c>
      <c r="C111">
        <f>IFERROR(INDEX($N$5:$Q$204,107,3),"")</f>
      </c>
      <c r="D111">
        <f>IFERROR(INDEX($N$5:$Q$204,107,4),"")</f>
      </c>
      <c r="H111">
        <f>IF(I111="","",107)</f>
      </c>
      <c r="I111">
        <f>IFERROR(INDEX(_xlfn.UNIQUE(_xlfn.FILTER('기록'!$C$2:$C$181,('기록'!$C$2:$C$181&lt;&gt;"")*('기록'!$A$2:$A$181&gt;=$B$1)*('기록'!$A$2:$A$181&lt;=$B$2))),107),"")</f>
      </c>
      <c r="J111">
        <f>IF(I111="","",SUMIFS('기록'!$G:$G,'기록'!$C:$C,I111,'기록'!$A:$A,"&gt;="&amp;$B$1,'기록'!$A:$A,"&lt;="&amp;$B$2))</f>
      </c>
      <c r="K111">
        <f>IF(I111="","",COUNTA(_xlfn.UNIQUE(_xlfn.FILTER('기록'!$A:$A,(('기록'!$C:$C=I111)*('기록'!$A:$A&gt;=$B$1)*('기록'!$A:$A&lt;=$B$2))))))</f>
      </c>
      <c r="L111">
        <f>IF(I111="","",J111)</f>
      </c>
    </row>
    <row r="112" spans="1:12" x14ac:dyDescent="0.25">
      <c r="A112">
        <f>IFERROR(INDEX($N$5:$Q$204,108,1),"")</f>
      </c>
      <c r="B112">
        <f>IFERROR(INDEX($N$5:$Q$204,108,2),"")</f>
      </c>
      <c r="C112">
        <f>IFERROR(INDEX($N$5:$Q$204,108,3),"")</f>
      </c>
      <c r="D112">
        <f>IFERROR(INDEX($N$5:$Q$204,108,4),"")</f>
      </c>
      <c r="H112">
        <f>IF(I112="","",108)</f>
      </c>
      <c r="I112">
        <f>IFERROR(INDEX(_xlfn.UNIQUE(_xlfn.FILTER('기록'!$C$2:$C$181,('기록'!$C$2:$C$181&lt;&gt;"")*('기록'!$A$2:$A$181&gt;=$B$1)*('기록'!$A$2:$A$181&lt;=$B$2))),108),"")</f>
      </c>
      <c r="J112">
        <f>IF(I112="","",SUMIFS('기록'!$G:$G,'기록'!$C:$C,I112,'기록'!$A:$A,"&gt;="&amp;$B$1,'기록'!$A:$A,"&lt;="&amp;$B$2))</f>
      </c>
      <c r="K112">
        <f>IF(I112="","",COUNTA(_xlfn.UNIQUE(_xlfn.FILTER('기록'!$A:$A,(('기록'!$C:$C=I112)*('기록'!$A:$A&gt;=$B$1)*('기록'!$A:$A&lt;=$B$2))))))</f>
      </c>
      <c r="L112">
        <f>IF(I112="","",J112)</f>
      </c>
    </row>
    <row r="113" spans="1:12" x14ac:dyDescent="0.25">
      <c r="A113">
        <f>IFERROR(INDEX($N$5:$Q$204,109,1),"")</f>
      </c>
      <c r="B113">
        <f>IFERROR(INDEX($N$5:$Q$204,109,2),"")</f>
      </c>
      <c r="C113">
        <f>IFERROR(INDEX($N$5:$Q$204,109,3),"")</f>
      </c>
      <c r="D113">
        <f>IFERROR(INDEX($N$5:$Q$204,109,4),"")</f>
      </c>
      <c r="H113">
        <f>IF(I113="","",109)</f>
      </c>
      <c r="I113">
        <f>IFERROR(INDEX(_xlfn.UNIQUE(_xlfn.FILTER('기록'!$C$2:$C$181,('기록'!$C$2:$C$181&lt;&gt;"")*('기록'!$A$2:$A$181&gt;=$B$1)*('기록'!$A$2:$A$181&lt;=$B$2))),109),"")</f>
      </c>
      <c r="J113">
        <f>IF(I113="","",SUMIFS('기록'!$G:$G,'기록'!$C:$C,I113,'기록'!$A:$A,"&gt;="&amp;$B$1,'기록'!$A:$A,"&lt;="&amp;$B$2))</f>
      </c>
      <c r="K113">
        <f>IF(I113="","",COUNTA(_xlfn.UNIQUE(_xlfn.FILTER('기록'!$A:$A,(('기록'!$C:$C=I113)*('기록'!$A:$A&gt;=$B$1)*('기록'!$A:$A&lt;=$B$2))))))</f>
      </c>
      <c r="L113">
        <f>IF(I113="","",J113)</f>
      </c>
    </row>
    <row r="114" spans="1:12" x14ac:dyDescent="0.25">
      <c r="A114">
        <f>IFERROR(INDEX($N$5:$Q$204,110,1),"")</f>
      </c>
      <c r="B114">
        <f>IFERROR(INDEX($N$5:$Q$204,110,2),"")</f>
      </c>
      <c r="C114">
        <f>IFERROR(INDEX($N$5:$Q$204,110,3),"")</f>
      </c>
      <c r="D114">
        <f>IFERROR(INDEX($N$5:$Q$204,110,4),"")</f>
      </c>
      <c r="H114">
        <f>IF(I114="","",110)</f>
      </c>
      <c r="I114">
        <f>IFERROR(INDEX(_xlfn.UNIQUE(_xlfn.FILTER('기록'!$C$2:$C$181,('기록'!$C$2:$C$181&lt;&gt;"")*('기록'!$A$2:$A$181&gt;=$B$1)*('기록'!$A$2:$A$181&lt;=$B$2))),110),"")</f>
      </c>
      <c r="J114">
        <f>IF(I114="","",SUMIFS('기록'!$G:$G,'기록'!$C:$C,I114,'기록'!$A:$A,"&gt;="&amp;$B$1,'기록'!$A:$A,"&lt;="&amp;$B$2))</f>
      </c>
      <c r="K114">
        <f>IF(I114="","",COUNTA(_xlfn.UNIQUE(_xlfn.FILTER('기록'!$A:$A,(('기록'!$C:$C=I114)*('기록'!$A:$A&gt;=$B$1)*('기록'!$A:$A&lt;=$B$2))))))</f>
      </c>
      <c r="L114">
        <f>IF(I114="","",J114)</f>
      </c>
    </row>
    <row r="115" spans="1:12" x14ac:dyDescent="0.25">
      <c r="A115">
        <f>IFERROR(INDEX($N$5:$Q$204,111,1),"")</f>
      </c>
      <c r="B115">
        <f>IFERROR(INDEX($N$5:$Q$204,111,2),"")</f>
      </c>
      <c r="C115">
        <f>IFERROR(INDEX($N$5:$Q$204,111,3),"")</f>
      </c>
      <c r="D115">
        <f>IFERROR(INDEX($N$5:$Q$204,111,4),"")</f>
      </c>
      <c r="H115">
        <f>IF(I115="","",111)</f>
      </c>
      <c r="I115">
        <f>IFERROR(INDEX(_xlfn.UNIQUE(_xlfn.FILTER('기록'!$C$2:$C$181,('기록'!$C$2:$C$181&lt;&gt;"")*('기록'!$A$2:$A$181&gt;=$B$1)*('기록'!$A$2:$A$181&lt;=$B$2))),111),"")</f>
      </c>
      <c r="J115">
        <f>IF(I115="","",SUMIFS('기록'!$G:$G,'기록'!$C:$C,I115,'기록'!$A:$A,"&gt;="&amp;$B$1,'기록'!$A:$A,"&lt;="&amp;$B$2))</f>
      </c>
      <c r="K115">
        <f>IF(I115="","",COUNTA(_xlfn.UNIQUE(_xlfn.FILTER('기록'!$A:$A,(('기록'!$C:$C=I115)*('기록'!$A:$A&gt;=$B$1)*('기록'!$A:$A&lt;=$B$2))))))</f>
      </c>
      <c r="L115">
        <f>IF(I115="","",J115)</f>
      </c>
    </row>
    <row r="116" spans="1:12" x14ac:dyDescent="0.25">
      <c r="A116">
        <f>IFERROR(INDEX($N$5:$Q$204,112,1),"")</f>
      </c>
      <c r="B116">
        <f>IFERROR(INDEX($N$5:$Q$204,112,2),"")</f>
      </c>
      <c r="C116">
        <f>IFERROR(INDEX($N$5:$Q$204,112,3),"")</f>
      </c>
      <c r="D116">
        <f>IFERROR(INDEX($N$5:$Q$204,112,4),"")</f>
      </c>
      <c r="H116">
        <f>IF(I116="","",112)</f>
      </c>
      <c r="I116">
        <f>IFERROR(INDEX(_xlfn.UNIQUE(_xlfn.FILTER('기록'!$C$2:$C$181,('기록'!$C$2:$C$181&lt;&gt;"")*('기록'!$A$2:$A$181&gt;=$B$1)*('기록'!$A$2:$A$181&lt;=$B$2))),112),"")</f>
      </c>
      <c r="J116">
        <f>IF(I116="","",SUMIFS('기록'!$G:$G,'기록'!$C:$C,I116,'기록'!$A:$A,"&gt;="&amp;$B$1,'기록'!$A:$A,"&lt;="&amp;$B$2))</f>
      </c>
      <c r="K116">
        <f>IF(I116="","",COUNTA(_xlfn.UNIQUE(_xlfn.FILTER('기록'!$A:$A,(('기록'!$C:$C=I116)*('기록'!$A:$A&gt;=$B$1)*('기록'!$A:$A&lt;=$B$2))))))</f>
      </c>
      <c r="L116">
        <f>IF(I116="","",J116)</f>
      </c>
    </row>
    <row r="117" spans="1:12" x14ac:dyDescent="0.25">
      <c r="A117">
        <f>IFERROR(INDEX($N$5:$Q$204,113,1),"")</f>
      </c>
      <c r="B117">
        <f>IFERROR(INDEX($N$5:$Q$204,113,2),"")</f>
      </c>
      <c r="C117">
        <f>IFERROR(INDEX($N$5:$Q$204,113,3),"")</f>
      </c>
      <c r="D117">
        <f>IFERROR(INDEX($N$5:$Q$204,113,4),"")</f>
      </c>
      <c r="H117">
        <f>IF(I117="","",113)</f>
      </c>
      <c r="I117">
        <f>IFERROR(INDEX(_xlfn.UNIQUE(_xlfn.FILTER('기록'!$C$2:$C$181,('기록'!$C$2:$C$181&lt;&gt;"")*('기록'!$A$2:$A$181&gt;=$B$1)*('기록'!$A$2:$A$181&lt;=$B$2))),113),"")</f>
      </c>
      <c r="J117">
        <f>IF(I117="","",SUMIFS('기록'!$G:$G,'기록'!$C:$C,I117,'기록'!$A:$A,"&gt;="&amp;$B$1,'기록'!$A:$A,"&lt;="&amp;$B$2))</f>
      </c>
      <c r="K117">
        <f>IF(I117="","",COUNTA(_xlfn.UNIQUE(_xlfn.FILTER('기록'!$A:$A,(('기록'!$C:$C=I117)*('기록'!$A:$A&gt;=$B$1)*('기록'!$A:$A&lt;=$B$2))))))</f>
      </c>
      <c r="L117">
        <f>IF(I117="","",J117)</f>
      </c>
    </row>
    <row r="118" spans="1:12" x14ac:dyDescent="0.25">
      <c r="A118">
        <f>IFERROR(INDEX($N$5:$Q$204,114,1),"")</f>
      </c>
      <c r="B118">
        <f>IFERROR(INDEX($N$5:$Q$204,114,2),"")</f>
      </c>
      <c r="C118">
        <f>IFERROR(INDEX($N$5:$Q$204,114,3),"")</f>
      </c>
      <c r="D118">
        <f>IFERROR(INDEX($N$5:$Q$204,114,4),"")</f>
      </c>
      <c r="H118">
        <f>IF(I118="","",114)</f>
      </c>
      <c r="I118">
        <f>IFERROR(INDEX(_xlfn.UNIQUE(_xlfn.FILTER('기록'!$C$2:$C$181,('기록'!$C$2:$C$181&lt;&gt;"")*('기록'!$A$2:$A$181&gt;=$B$1)*('기록'!$A$2:$A$181&lt;=$B$2))),114),"")</f>
      </c>
      <c r="J118">
        <f>IF(I118="","",SUMIFS('기록'!$G:$G,'기록'!$C:$C,I118,'기록'!$A:$A,"&gt;="&amp;$B$1,'기록'!$A:$A,"&lt;="&amp;$B$2))</f>
      </c>
      <c r="K118">
        <f>IF(I118="","",COUNTA(_xlfn.UNIQUE(_xlfn.FILTER('기록'!$A:$A,(('기록'!$C:$C=I118)*('기록'!$A:$A&gt;=$B$1)*('기록'!$A:$A&lt;=$B$2))))))</f>
      </c>
      <c r="L118">
        <f>IF(I118="","",J118)</f>
      </c>
    </row>
    <row r="119" spans="1:12" x14ac:dyDescent="0.25">
      <c r="A119">
        <f>IFERROR(INDEX($N$5:$Q$204,115,1),"")</f>
      </c>
      <c r="B119">
        <f>IFERROR(INDEX($N$5:$Q$204,115,2),"")</f>
      </c>
      <c r="C119">
        <f>IFERROR(INDEX($N$5:$Q$204,115,3),"")</f>
      </c>
      <c r="D119">
        <f>IFERROR(INDEX($N$5:$Q$204,115,4),"")</f>
      </c>
      <c r="H119">
        <f>IF(I119="","",115)</f>
      </c>
      <c r="I119">
        <f>IFERROR(INDEX(_xlfn.UNIQUE(_xlfn.FILTER('기록'!$C$2:$C$181,('기록'!$C$2:$C$181&lt;&gt;"")*('기록'!$A$2:$A$181&gt;=$B$1)*('기록'!$A$2:$A$181&lt;=$B$2))),115),"")</f>
      </c>
      <c r="J119">
        <f>IF(I119="","",SUMIFS('기록'!$G:$G,'기록'!$C:$C,I119,'기록'!$A:$A,"&gt;="&amp;$B$1,'기록'!$A:$A,"&lt;="&amp;$B$2))</f>
      </c>
      <c r="K119">
        <f>IF(I119="","",COUNTA(_xlfn.UNIQUE(_xlfn.FILTER('기록'!$A:$A,(('기록'!$C:$C=I119)*('기록'!$A:$A&gt;=$B$1)*('기록'!$A:$A&lt;=$B$2))))))</f>
      </c>
      <c r="L119">
        <f>IF(I119="","",J119)</f>
      </c>
    </row>
    <row r="120" spans="1:12" x14ac:dyDescent="0.25">
      <c r="A120">
        <f>IFERROR(INDEX($N$5:$Q$204,116,1),"")</f>
      </c>
      <c r="B120">
        <f>IFERROR(INDEX($N$5:$Q$204,116,2),"")</f>
      </c>
      <c r="C120">
        <f>IFERROR(INDEX($N$5:$Q$204,116,3),"")</f>
      </c>
      <c r="D120">
        <f>IFERROR(INDEX($N$5:$Q$204,116,4),"")</f>
      </c>
      <c r="H120">
        <f>IF(I120="","",116)</f>
      </c>
      <c r="I120">
        <f>IFERROR(INDEX(_xlfn.UNIQUE(_xlfn.FILTER('기록'!$C$2:$C$181,('기록'!$C$2:$C$181&lt;&gt;"")*('기록'!$A$2:$A$181&gt;=$B$1)*('기록'!$A$2:$A$181&lt;=$B$2))),116),"")</f>
      </c>
      <c r="J120">
        <f>IF(I120="","",SUMIFS('기록'!$G:$G,'기록'!$C:$C,I120,'기록'!$A:$A,"&gt;="&amp;$B$1,'기록'!$A:$A,"&lt;="&amp;$B$2))</f>
      </c>
      <c r="K120">
        <f>IF(I120="","",COUNTA(_xlfn.UNIQUE(_xlfn.FILTER('기록'!$A:$A,(('기록'!$C:$C=I120)*('기록'!$A:$A&gt;=$B$1)*('기록'!$A:$A&lt;=$B$2))))))</f>
      </c>
      <c r="L120">
        <f>IF(I120="","",J120)</f>
      </c>
    </row>
    <row r="121" spans="1:12" x14ac:dyDescent="0.25">
      <c r="A121">
        <f>IFERROR(INDEX($N$5:$Q$204,117,1),"")</f>
      </c>
      <c r="B121">
        <f>IFERROR(INDEX($N$5:$Q$204,117,2),"")</f>
      </c>
      <c r="C121">
        <f>IFERROR(INDEX($N$5:$Q$204,117,3),"")</f>
      </c>
      <c r="D121">
        <f>IFERROR(INDEX($N$5:$Q$204,117,4),"")</f>
      </c>
      <c r="H121">
        <f>IF(I121="","",117)</f>
      </c>
      <c r="I121">
        <f>IFERROR(INDEX(_xlfn.UNIQUE(_xlfn.FILTER('기록'!$C$2:$C$181,('기록'!$C$2:$C$181&lt;&gt;"")*('기록'!$A$2:$A$181&gt;=$B$1)*('기록'!$A$2:$A$181&lt;=$B$2))),117),"")</f>
      </c>
      <c r="J121">
        <f>IF(I121="","",SUMIFS('기록'!$G:$G,'기록'!$C:$C,I121,'기록'!$A:$A,"&gt;="&amp;$B$1,'기록'!$A:$A,"&lt;="&amp;$B$2))</f>
      </c>
      <c r="K121">
        <f>IF(I121="","",COUNTA(_xlfn.UNIQUE(_xlfn.FILTER('기록'!$A:$A,(('기록'!$C:$C=I121)*('기록'!$A:$A&gt;=$B$1)*('기록'!$A:$A&lt;=$B$2))))))</f>
      </c>
      <c r="L121">
        <f>IF(I121="","",J121)</f>
      </c>
    </row>
    <row r="122" spans="1:12" x14ac:dyDescent="0.25">
      <c r="A122">
        <f>IFERROR(INDEX($N$5:$Q$204,118,1),"")</f>
      </c>
      <c r="B122">
        <f>IFERROR(INDEX($N$5:$Q$204,118,2),"")</f>
      </c>
      <c r="C122">
        <f>IFERROR(INDEX($N$5:$Q$204,118,3),"")</f>
      </c>
      <c r="D122">
        <f>IFERROR(INDEX($N$5:$Q$204,118,4),"")</f>
      </c>
      <c r="H122">
        <f>IF(I122="","",118)</f>
      </c>
      <c r="I122">
        <f>IFERROR(INDEX(_xlfn.UNIQUE(_xlfn.FILTER('기록'!$C$2:$C$181,('기록'!$C$2:$C$181&lt;&gt;"")*('기록'!$A$2:$A$181&gt;=$B$1)*('기록'!$A$2:$A$181&lt;=$B$2))),118),"")</f>
      </c>
      <c r="J122">
        <f>IF(I122="","",SUMIFS('기록'!$G:$G,'기록'!$C:$C,I122,'기록'!$A:$A,"&gt;="&amp;$B$1,'기록'!$A:$A,"&lt;="&amp;$B$2))</f>
      </c>
      <c r="K122">
        <f>IF(I122="","",COUNTA(_xlfn.UNIQUE(_xlfn.FILTER('기록'!$A:$A,(('기록'!$C:$C=I122)*('기록'!$A:$A&gt;=$B$1)*('기록'!$A:$A&lt;=$B$2))))))</f>
      </c>
      <c r="L122">
        <f>IF(I122="","",J122)</f>
      </c>
    </row>
    <row r="123" spans="1:12" x14ac:dyDescent="0.25">
      <c r="A123">
        <f>IFERROR(INDEX($N$5:$Q$204,119,1),"")</f>
      </c>
      <c r="B123">
        <f>IFERROR(INDEX($N$5:$Q$204,119,2),"")</f>
      </c>
      <c r="C123">
        <f>IFERROR(INDEX($N$5:$Q$204,119,3),"")</f>
      </c>
      <c r="D123">
        <f>IFERROR(INDEX($N$5:$Q$204,119,4),"")</f>
      </c>
      <c r="H123">
        <f>IF(I123="","",119)</f>
      </c>
      <c r="I123">
        <f>IFERROR(INDEX(_xlfn.UNIQUE(_xlfn.FILTER('기록'!$C$2:$C$181,('기록'!$C$2:$C$181&lt;&gt;"")*('기록'!$A$2:$A$181&gt;=$B$1)*('기록'!$A$2:$A$181&lt;=$B$2))),119),"")</f>
      </c>
      <c r="J123">
        <f>IF(I123="","",SUMIFS('기록'!$G:$G,'기록'!$C:$C,I123,'기록'!$A:$A,"&gt;="&amp;$B$1,'기록'!$A:$A,"&lt;="&amp;$B$2))</f>
      </c>
      <c r="K123">
        <f>IF(I123="","",COUNTA(_xlfn.UNIQUE(_xlfn.FILTER('기록'!$A:$A,(('기록'!$C:$C=I123)*('기록'!$A:$A&gt;=$B$1)*('기록'!$A:$A&lt;=$B$2))))))</f>
      </c>
      <c r="L123">
        <f>IF(I123="","",J123)</f>
      </c>
    </row>
    <row r="124" spans="1:12" x14ac:dyDescent="0.25">
      <c r="A124">
        <f>IFERROR(INDEX($N$5:$Q$204,120,1),"")</f>
      </c>
      <c r="B124">
        <f>IFERROR(INDEX($N$5:$Q$204,120,2),"")</f>
      </c>
      <c r="C124">
        <f>IFERROR(INDEX($N$5:$Q$204,120,3),"")</f>
      </c>
      <c r="D124">
        <f>IFERROR(INDEX($N$5:$Q$204,120,4),"")</f>
      </c>
      <c r="H124">
        <f>IF(I124="","",120)</f>
      </c>
      <c r="I124">
        <f>IFERROR(INDEX(_xlfn.UNIQUE(_xlfn.FILTER('기록'!$C$2:$C$181,('기록'!$C$2:$C$181&lt;&gt;"")*('기록'!$A$2:$A$181&gt;=$B$1)*('기록'!$A$2:$A$181&lt;=$B$2))),120),"")</f>
      </c>
      <c r="J124">
        <f>IF(I124="","",SUMIFS('기록'!$G:$G,'기록'!$C:$C,I124,'기록'!$A:$A,"&gt;="&amp;$B$1,'기록'!$A:$A,"&lt;="&amp;$B$2))</f>
      </c>
      <c r="K124">
        <f>IF(I124="","",COUNTA(_xlfn.UNIQUE(_xlfn.FILTER('기록'!$A:$A,(('기록'!$C:$C=I124)*('기록'!$A:$A&gt;=$B$1)*('기록'!$A:$A&lt;=$B$2))))))</f>
      </c>
      <c r="L124">
        <f>IF(I124="","",J124)</f>
      </c>
    </row>
    <row r="125" spans="1:12" x14ac:dyDescent="0.25">
      <c r="A125">
        <f>IFERROR(INDEX($N$5:$Q$204,121,1),"")</f>
      </c>
      <c r="B125">
        <f>IFERROR(INDEX($N$5:$Q$204,121,2),"")</f>
      </c>
      <c r="C125">
        <f>IFERROR(INDEX($N$5:$Q$204,121,3),"")</f>
      </c>
      <c r="D125">
        <f>IFERROR(INDEX($N$5:$Q$204,121,4),"")</f>
      </c>
      <c r="H125">
        <f>IF(I125="","",121)</f>
      </c>
      <c r="I125">
        <f>IFERROR(INDEX(_xlfn.UNIQUE(_xlfn.FILTER('기록'!$C$2:$C$181,('기록'!$C$2:$C$181&lt;&gt;"")*('기록'!$A$2:$A$181&gt;=$B$1)*('기록'!$A$2:$A$181&lt;=$B$2))),121),"")</f>
      </c>
      <c r="J125">
        <f>IF(I125="","",SUMIFS('기록'!$G:$G,'기록'!$C:$C,I125,'기록'!$A:$A,"&gt;="&amp;$B$1,'기록'!$A:$A,"&lt;="&amp;$B$2))</f>
      </c>
      <c r="K125">
        <f>IF(I125="","",COUNTA(_xlfn.UNIQUE(_xlfn.FILTER('기록'!$A:$A,(('기록'!$C:$C=I125)*('기록'!$A:$A&gt;=$B$1)*('기록'!$A:$A&lt;=$B$2))))))</f>
      </c>
      <c r="L125">
        <f>IF(I125="","",J125)</f>
      </c>
    </row>
    <row r="126" spans="1:12" x14ac:dyDescent="0.25">
      <c r="A126">
        <f>IFERROR(INDEX($N$5:$Q$204,122,1),"")</f>
      </c>
      <c r="B126">
        <f>IFERROR(INDEX($N$5:$Q$204,122,2),"")</f>
      </c>
      <c r="C126">
        <f>IFERROR(INDEX($N$5:$Q$204,122,3),"")</f>
      </c>
      <c r="D126">
        <f>IFERROR(INDEX($N$5:$Q$204,122,4),"")</f>
      </c>
      <c r="H126">
        <f>IF(I126="","",122)</f>
      </c>
      <c r="I126">
        <f>IFERROR(INDEX(_xlfn.UNIQUE(_xlfn.FILTER('기록'!$C$2:$C$181,('기록'!$C$2:$C$181&lt;&gt;"")*('기록'!$A$2:$A$181&gt;=$B$1)*('기록'!$A$2:$A$181&lt;=$B$2))),122),"")</f>
      </c>
      <c r="J126">
        <f>IF(I126="","",SUMIFS('기록'!$G:$G,'기록'!$C:$C,I126,'기록'!$A:$A,"&gt;="&amp;$B$1,'기록'!$A:$A,"&lt;="&amp;$B$2))</f>
      </c>
      <c r="K126">
        <f>IF(I126="","",COUNTA(_xlfn.UNIQUE(_xlfn.FILTER('기록'!$A:$A,(('기록'!$C:$C=I126)*('기록'!$A:$A&gt;=$B$1)*('기록'!$A:$A&lt;=$B$2))))))</f>
      </c>
      <c r="L126">
        <f>IF(I126="","",J126)</f>
      </c>
    </row>
    <row r="127" spans="1:12" x14ac:dyDescent="0.25">
      <c r="A127">
        <f>IFERROR(INDEX($N$5:$Q$204,123,1),"")</f>
      </c>
      <c r="B127">
        <f>IFERROR(INDEX($N$5:$Q$204,123,2),"")</f>
      </c>
      <c r="C127">
        <f>IFERROR(INDEX($N$5:$Q$204,123,3),"")</f>
      </c>
      <c r="D127">
        <f>IFERROR(INDEX($N$5:$Q$204,123,4),"")</f>
      </c>
      <c r="H127">
        <f>IF(I127="","",123)</f>
      </c>
      <c r="I127">
        <f>IFERROR(INDEX(_xlfn.UNIQUE(_xlfn.FILTER('기록'!$C$2:$C$181,('기록'!$C$2:$C$181&lt;&gt;"")*('기록'!$A$2:$A$181&gt;=$B$1)*('기록'!$A$2:$A$181&lt;=$B$2))),123),"")</f>
      </c>
      <c r="J127">
        <f>IF(I127="","",SUMIFS('기록'!$G:$G,'기록'!$C:$C,I127,'기록'!$A:$A,"&gt;="&amp;$B$1,'기록'!$A:$A,"&lt;="&amp;$B$2))</f>
      </c>
      <c r="K127">
        <f>IF(I127="","",COUNTA(_xlfn.UNIQUE(_xlfn.FILTER('기록'!$A:$A,(('기록'!$C:$C=I127)*('기록'!$A:$A&gt;=$B$1)*('기록'!$A:$A&lt;=$B$2))))))</f>
      </c>
      <c r="L127">
        <f>IF(I127="","",J127)</f>
      </c>
    </row>
    <row r="128" spans="1:12" x14ac:dyDescent="0.25">
      <c r="A128">
        <f>IFERROR(INDEX($N$5:$Q$204,124,1),"")</f>
      </c>
      <c r="B128">
        <f>IFERROR(INDEX($N$5:$Q$204,124,2),"")</f>
      </c>
      <c r="C128">
        <f>IFERROR(INDEX($N$5:$Q$204,124,3),"")</f>
      </c>
      <c r="D128">
        <f>IFERROR(INDEX($N$5:$Q$204,124,4),"")</f>
      </c>
      <c r="H128">
        <f>IF(I128="","",124)</f>
      </c>
      <c r="I128">
        <f>IFERROR(INDEX(_xlfn.UNIQUE(_xlfn.FILTER('기록'!$C$2:$C$181,('기록'!$C$2:$C$181&lt;&gt;"")*('기록'!$A$2:$A$181&gt;=$B$1)*('기록'!$A$2:$A$181&lt;=$B$2))),124),"")</f>
      </c>
      <c r="J128">
        <f>IF(I128="","",SUMIFS('기록'!$G:$G,'기록'!$C:$C,I128,'기록'!$A:$A,"&gt;="&amp;$B$1,'기록'!$A:$A,"&lt;="&amp;$B$2))</f>
      </c>
      <c r="K128">
        <f>IF(I128="","",COUNTA(_xlfn.UNIQUE(_xlfn.FILTER('기록'!$A:$A,(('기록'!$C:$C=I128)*('기록'!$A:$A&gt;=$B$1)*('기록'!$A:$A&lt;=$B$2))))))</f>
      </c>
      <c r="L128">
        <f>IF(I128="","",J128)</f>
      </c>
    </row>
    <row r="129" spans="1:12" x14ac:dyDescent="0.25">
      <c r="A129">
        <f>IFERROR(INDEX($N$5:$Q$204,125,1),"")</f>
      </c>
      <c r="B129">
        <f>IFERROR(INDEX($N$5:$Q$204,125,2),"")</f>
      </c>
      <c r="C129">
        <f>IFERROR(INDEX($N$5:$Q$204,125,3),"")</f>
      </c>
      <c r="D129">
        <f>IFERROR(INDEX($N$5:$Q$204,125,4),"")</f>
      </c>
      <c r="H129">
        <f>IF(I129="","",125)</f>
      </c>
      <c r="I129">
        <f>IFERROR(INDEX(_xlfn.UNIQUE(_xlfn.FILTER('기록'!$C$2:$C$181,('기록'!$C$2:$C$181&lt;&gt;"")*('기록'!$A$2:$A$181&gt;=$B$1)*('기록'!$A$2:$A$181&lt;=$B$2))),125),"")</f>
      </c>
      <c r="J129">
        <f>IF(I129="","",SUMIFS('기록'!$G:$G,'기록'!$C:$C,I129,'기록'!$A:$A,"&gt;="&amp;$B$1,'기록'!$A:$A,"&lt;="&amp;$B$2))</f>
      </c>
      <c r="K129">
        <f>IF(I129="","",COUNTA(_xlfn.UNIQUE(_xlfn.FILTER('기록'!$A:$A,(('기록'!$C:$C=I129)*('기록'!$A:$A&gt;=$B$1)*('기록'!$A:$A&lt;=$B$2))))))</f>
      </c>
      <c r="L129">
        <f>IF(I129="","",J129)</f>
      </c>
    </row>
    <row r="130" spans="1:12" x14ac:dyDescent="0.25">
      <c r="A130">
        <f>IFERROR(INDEX($N$5:$Q$204,126,1),"")</f>
      </c>
      <c r="B130">
        <f>IFERROR(INDEX($N$5:$Q$204,126,2),"")</f>
      </c>
      <c r="C130">
        <f>IFERROR(INDEX($N$5:$Q$204,126,3),"")</f>
      </c>
      <c r="D130">
        <f>IFERROR(INDEX($N$5:$Q$204,126,4),"")</f>
      </c>
      <c r="H130">
        <f>IF(I130="","",126)</f>
      </c>
      <c r="I130">
        <f>IFERROR(INDEX(_xlfn.UNIQUE(_xlfn.FILTER('기록'!$C$2:$C$181,('기록'!$C$2:$C$181&lt;&gt;"")*('기록'!$A$2:$A$181&gt;=$B$1)*('기록'!$A$2:$A$181&lt;=$B$2))),126),"")</f>
      </c>
      <c r="J130">
        <f>IF(I130="","",SUMIFS('기록'!$G:$G,'기록'!$C:$C,I130,'기록'!$A:$A,"&gt;="&amp;$B$1,'기록'!$A:$A,"&lt;="&amp;$B$2))</f>
      </c>
      <c r="K130">
        <f>IF(I130="","",COUNTA(_xlfn.UNIQUE(_xlfn.FILTER('기록'!$A:$A,(('기록'!$C:$C=I130)*('기록'!$A:$A&gt;=$B$1)*('기록'!$A:$A&lt;=$B$2))))))</f>
      </c>
      <c r="L130">
        <f>IF(I130="","",J130)</f>
      </c>
    </row>
    <row r="131" spans="1:12" x14ac:dyDescent="0.25">
      <c r="A131">
        <f>IFERROR(INDEX($N$5:$Q$204,127,1),"")</f>
      </c>
      <c r="B131">
        <f>IFERROR(INDEX($N$5:$Q$204,127,2),"")</f>
      </c>
      <c r="C131">
        <f>IFERROR(INDEX($N$5:$Q$204,127,3),"")</f>
      </c>
      <c r="D131">
        <f>IFERROR(INDEX($N$5:$Q$204,127,4),"")</f>
      </c>
      <c r="H131">
        <f>IF(I131="","",127)</f>
      </c>
      <c r="I131">
        <f>IFERROR(INDEX(_xlfn.UNIQUE(_xlfn.FILTER('기록'!$C$2:$C$181,('기록'!$C$2:$C$181&lt;&gt;"")*('기록'!$A$2:$A$181&gt;=$B$1)*('기록'!$A$2:$A$181&lt;=$B$2))),127),"")</f>
      </c>
      <c r="J131">
        <f>IF(I131="","",SUMIFS('기록'!$G:$G,'기록'!$C:$C,I131,'기록'!$A:$A,"&gt;="&amp;$B$1,'기록'!$A:$A,"&lt;="&amp;$B$2))</f>
      </c>
      <c r="K131">
        <f>IF(I131="","",COUNTA(_xlfn.UNIQUE(_xlfn.FILTER('기록'!$A:$A,(('기록'!$C:$C=I131)*('기록'!$A:$A&gt;=$B$1)*('기록'!$A:$A&lt;=$B$2))))))</f>
      </c>
      <c r="L131">
        <f>IF(I131="","",J131)</f>
      </c>
    </row>
    <row r="132" spans="1:12" x14ac:dyDescent="0.25">
      <c r="A132">
        <f>IFERROR(INDEX($N$5:$Q$204,128,1),"")</f>
      </c>
      <c r="B132">
        <f>IFERROR(INDEX($N$5:$Q$204,128,2),"")</f>
      </c>
      <c r="C132">
        <f>IFERROR(INDEX($N$5:$Q$204,128,3),"")</f>
      </c>
      <c r="D132">
        <f>IFERROR(INDEX($N$5:$Q$204,128,4),"")</f>
      </c>
      <c r="H132">
        <f>IF(I132="","",128)</f>
      </c>
      <c r="I132">
        <f>IFERROR(INDEX(_xlfn.UNIQUE(_xlfn.FILTER('기록'!$C$2:$C$181,('기록'!$C$2:$C$181&lt;&gt;"")*('기록'!$A$2:$A$181&gt;=$B$1)*('기록'!$A$2:$A$181&lt;=$B$2))),128),"")</f>
      </c>
      <c r="J132">
        <f>IF(I132="","",SUMIFS('기록'!$G:$G,'기록'!$C:$C,I132,'기록'!$A:$A,"&gt;="&amp;$B$1,'기록'!$A:$A,"&lt;="&amp;$B$2))</f>
      </c>
      <c r="K132">
        <f>IF(I132="","",COUNTA(_xlfn.UNIQUE(_xlfn.FILTER('기록'!$A:$A,(('기록'!$C:$C=I132)*('기록'!$A:$A&gt;=$B$1)*('기록'!$A:$A&lt;=$B$2))))))</f>
      </c>
      <c r="L132">
        <f>IF(I132="","",J132)</f>
      </c>
    </row>
    <row r="133" spans="1:12" x14ac:dyDescent="0.25">
      <c r="A133">
        <f>IFERROR(INDEX($N$5:$Q$204,129,1),"")</f>
      </c>
      <c r="B133">
        <f>IFERROR(INDEX($N$5:$Q$204,129,2),"")</f>
      </c>
      <c r="C133">
        <f>IFERROR(INDEX($N$5:$Q$204,129,3),"")</f>
      </c>
      <c r="D133">
        <f>IFERROR(INDEX($N$5:$Q$204,129,4),"")</f>
      </c>
      <c r="H133">
        <f>IF(I133="","",129)</f>
      </c>
      <c r="I133">
        <f>IFERROR(INDEX(_xlfn.UNIQUE(_xlfn.FILTER('기록'!$C$2:$C$181,('기록'!$C$2:$C$181&lt;&gt;"")*('기록'!$A$2:$A$181&gt;=$B$1)*('기록'!$A$2:$A$181&lt;=$B$2))),129),"")</f>
      </c>
      <c r="J133">
        <f>IF(I133="","",SUMIFS('기록'!$G:$G,'기록'!$C:$C,I133,'기록'!$A:$A,"&gt;="&amp;$B$1,'기록'!$A:$A,"&lt;="&amp;$B$2))</f>
      </c>
      <c r="K133">
        <f>IF(I133="","",COUNTA(_xlfn.UNIQUE(_xlfn.FILTER('기록'!$A:$A,(('기록'!$C:$C=I133)*('기록'!$A:$A&gt;=$B$1)*('기록'!$A:$A&lt;=$B$2))))))</f>
      </c>
      <c r="L133">
        <f>IF(I133="","",J133)</f>
      </c>
    </row>
    <row r="134" spans="1:12" x14ac:dyDescent="0.25">
      <c r="A134">
        <f>IFERROR(INDEX($N$5:$Q$204,130,1),"")</f>
      </c>
      <c r="B134">
        <f>IFERROR(INDEX($N$5:$Q$204,130,2),"")</f>
      </c>
      <c r="C134">
        <f>IFERROR(INDEX($N$5:$Q$204,130,3),"")</f>
      </c>
      <c r="D134">
        <f>IFERROR(INDEX($N$5:$Q$204,130,4),"")</f>
      </c>
      <c r="H134">
        <f>IF(I134="","",130)</f>
      </c>
      <c r="I134">
        <f>IFERROR(INDEX(_xlfn.UNIQUE(_xlfn.FILTER('기록'!$C$2:$C$181,('기록'!$C$2:$C$181&lt;&gt;"")*('기록'!$A$2:$A$181&gt;=$B$1)*('기록'!$A$2:$A$181&lt;=$B$2))),130),"")</f>
      </c>
      <c r="J134">
        <f>IF(I134="","",SUMIFS('기록'!$G:$G,'기록'!$C:$C,I134,'기록'!$A:$A,"&gt;="&amp;$B$1,'기록'!$A:$A,"&lt;="&amp;$B$2))</f>
      </c>
      <c r="K134">
        <f>IF(I134="","",COUNTA(_xlfn.UNIQUE(_xlfn.FILTER('기록'!$A:$A,(('기록'!$C:$C=I134)*('기록'!$A:$A&gt;=$B$1)*('기록'!$A:$A&lt;=$B$2))))))</f>
      </c>
      <c r="L134">
        <f>IF(I134="","",J134)</f>
      </c>
    </row>
    <row r="135" spans="1:12" x14ac:dyDescent="0.25">
      <c r="A135">
        <f>IFERROR(INDEX($N$5:$Q$204,131,1),"")</f>
      </c>
      <c r="B135">
        <f>IFERROR(INDEX($N$5:$Q$204,131,2),"")</f>
      </c>
      <c r="C135">
        <f>IFERROR(INDEX($N$5:$Q$204,131,3),"")</f>
      </c>
      <c r="D135">
        <f>IFERROR(INDEX($N$5:$Q$204,131,4),"")</f>
      </c>
      <c r="H135">
        <f>IF(I135="","",131)</f>
      </c>
      <c r="I135">
        <f>IFERROR(INDEX(_xlfn.UNIQUE(_xlfn.FILTER('기록'!$C$2:$C$181,('기록'!$C$2:$C$181&lt;&gt;"")*('기록'!$A$2:$A$181&gt;=$B$1)*('기록'!$A$2:$A$181&lt;=$B$2))),131),"")</f>
      </c>
      <c r="J135">
        <f>IF(I135="","",SUMIFS('기록'!$G:$G,'기록'!$C:$C,I135,'기록'!$A:$A,"&gt;="&amp;$B$1,'기록'!$A:$A,"&lt;="&amp;$B$2))</f>
      </c>
      <c r="K135">
        <f>IF(I135="","",COUNTA(_xlfn.UNIQUE(_xlfn.FILTER('기록'!$A:$A,(('기록'!$C:$C=I135)*('기록'!$A:$A&gt;=$B$1)*('기록'!$A:$A&lt;=$B$2))))))</f>
      </c>
      <c r="L135">
        <f>IF(I135="","",J135)</f>
      </c>
    </row>
    <row r="136" spans="1:12" x14ac:dyDescent="0.25">
      <c r="A136">
        <f>IFERROR(INDEX($N$5:$Q$204,132,1),"")</f>
      </c>
      <c r="B136">
        <f>IFERROR(INDEX($N$5:$Q$204,132,2),"")</f>
      </c>
      <c r="C136">
        <f>IFERROR(INDEX($N$5:$Q$204,132,3),"")</f>
      </c>
      <c r="D136">
        <f>IFERROR(INDEX($N$5:$Q$204,132,4),"")</f>
      </c>
      <c r="H136">
        <f>IF(I136="","",132)</f>
      </c>
      <c r="I136">
        <f>IFERROR(INDEX(_xlfn.UNIQUE(_xlfn.FILTER('기록'!$C$2:$C$181,('기록'!$C$2:$C$181&lt;&gt;"")*('기록'!$A$2:$A$181&gt;=$B$1)*('기록'!$A$2:$A$181&lt;=$B$2))),132),"")</f>
      </c>
      <c r="J136">
        <f>IF(I136="","",SUMIFS('기록'!$G:$G,'기록'!$C:$C,I136,'기록'!$A:$A,"&gt;="&amp;$B$1,'기록'!$A:$A,"&lt;="&amp;$B$2))</f>
      </c>
      <c r="K136">
        <f>IF(I136="","",COUNTA(_xlfn.UNIQUE(_xlfn.FILTER('기록'!$A:$A,(('기록'!$C:$C=I136)*('기록'!$A:$A&gt;=$B$1)*('기록'!$A:$A&lt;=$B$2))))))</f>
      </c>
      <c r="L136">
        <f>IF(I136="","",J136)</f>
      </c>
    </row>
    <row r="137" spans="1:12" x14ac:dyDescent="0.25">
      <c r="A137">
        <f>IFERROR(INDEX($N$5:$Q$204,133,1),"")</f>
      </c>
      <c r="B137">
        <f>IFERROR(INDEX($N$5:$Q$204,133,2),"")</f>
      </c>
      <c r="C137">
        <f>IFERROR(INDEX($N$5:$Q$204,133,3),"")</f>
      </c>
      <c r="D137">
        <f>IFERROR(INDEX($N$5:$Q$204,133,4),"")</f>
      </c>
      <c r="H137">
        <f>IF(I137="","",133)</f>
      </c>
      <c r="I137">
        <f>IFERROR(INDEX(_xlfn.UNIQUE(_xlfn.FILTER('기록'!$C$2:$C$181,('기록'!$C$2:$C$181&lt;&gt;"")*('기록'!$A$2:$A$181&gt;=$B$1)*('기록'!$A$2:$A$181&lt;=$B$2))),133),"")</f>
      </c>
      <c r="J137">
        <f>IF(I137="","",SUMIFS('기록'!$G:$G,'기록'!$C:$C,I137,'기록'!$A:$A,"&gt;="&amp;$B$1,'기록'!$A:$A,"&lt;="&amp;$B$2))</f>
      </c>
      <c r="K137">
        <f>IF(I137="","",COUNTA(_xlfn.UNIQUE(_xlfn.FILTER('기록'!$A:$A,(('기록'!$C:$C=I137)*('기록'!$A:$A&gt;=$B$1)*('기록'!$A:$A&lt;=$B$2))))))</f>
      </c>
      <c r="L137">
        <f>IF(I137="","",J137)</f>
      </c>
    </row>
    <row r="138" spans="1:12" x14ac:dyDescent="0.25">
      <c r="A138">
        <f>IFERROR(INDEX($N$5:$Q$204,134,1),"")</f>
      </c>
      <c r="B138">
        <f>IFERROR(INDEX($N$5:$Q$204,134,2),"")</f>
      </c>
      <c r="C138">
        <f>IFERROR(INDEX($N$5:$Q$204,134,3),"")</f>
      </c>
      <c r="D138">
        <f>IFERROR(INDEX($N$5:$Q$204,134,4),"")</f>
      </c>
      <c r="H138">
        <f>IF(I138="","",134)</f>
      </c>
      <c r="I138">
        <f>IFERROR(INDEX(_xlfn.UNIQUE(_xlfn.FILTER('기록'!$C$2:$C$181,('기록'!$C$2:$C$181&lt;&gt;"")*('기록'!$A$2:$A$181&gt;=$B$1)*('기록'!$A$2:$A$181&lt;=$B$2))),134),"")</f>
      </c>
      <c r="J138">
        <f>IF(I138="","",SUMIFS('기록'!$G:$G,'기록'!$C:$C,I138,'기록'!$A:$A,"&gt;="&amp;$B$1,'기록'!$A:$A,"&lt;="&amp;$B$2))</f>
      </c>
      <c r="K138">
        <f>IF(I138="","",COUNTA(_xlfn.UNIQUE(_xlfn.FILTER('기록'!$A:$A,(('기록'!$C:$C=I138)*('기록'!$A:$A&gt;=$B$1)*('기록'!$A:$A&lt;=$B$2))))))</f>
      </c>
      <c r="L138">
        <f>IF(I138="","",J138)</f>
      </c>
    </row>
    <row r="139" spans="1:12" x14ac:dyDescent="0.25">
      <c r="A139">
        <f>IFERROR(INDEX($N$5:$Q$204,135,1),"")</f>
      </c>
      <c r="B139">
        <f>IFERROR(INDEX($N$5:$Q$204,135,2),"")</f>
      </c>
      <c r="C139">
        <f>IFERROR(INDEX($N$5:$Q$204,135,3),"")</f>
      </c>
      <c r="D139">
        <f>IFERROR(INDEX($N$5:$Q$204,135,4),"")</f>
      </c>
      <c r="H139">
        <f>IF(I139="","",135)</f>
      </c>
      <c r="I139">
        <f>IFERROR(INDEX(_xlfn.UNIQUE(_xlfn.FILTER('기록'!$C$2:$C$181,('기록'!$C$2:$C$181&lt;&gt;"")*('기록'!$A$2:$A$181&gt;=$B$1)*('기록'!$A$2:$A$181&lt;=$B$2))),135),"")</f>
      </c>
      <c r="J139">
        <f>IF(I139="","",SUMIFS('기록'!$G:$G,'기록'!$C:$C,I139,'기록'!$A:$A,"&gt;="&amp;$B$1,'기록'!$A:$A,"&lt;="&amp;$B$2))</f>
      </c>
      <c r="K139">
        <f>IF(I139="","",COUNTA(_xlfn.UNIQUE(_xlfn.FILTER('기록'!$A:$A,(('기록'!$C:$C=I139)*('기록'!$A:$A&gt;=$B$1)*('기록'!$A:$A&lt;=$B$2))))))</f>
      </c>
      <c r="L139">
        <f>IF(I139="","",J139)</f>
      </c>
    </row>
    <row r="140" spans="1:12" x14ac:dyDescent="0.25">
      <c r="A140">
        <f>IFERROR(INDEX($N$5:$Q$204,136,1),"")</f>
      </c>
      <c r="B140">
        <f>IFERROR(INDEX($N$5:$Q$204,136,2),"")</f>
      </c>
      <c r="C140">
        <f>IFERROR(INDEX($N$5:$Q$204,136,3),"")</f>
      </c>
      <c r="D140">
        <f>IFERROR(INDEX($N$5:$Q$204,136,4),"")</f>
      </c>
      <c r="H140">
        <f>IF(I140="","",136)</f>
      </c>
      <c r="I140">
        <f>IFERROR(INDEX(_xlfn.UNIQUE(_xlfn.FILTER('기록'!$C$2:$C$181,('기록'!$C$2:$C$181&lt;&gt;"")*('기록'!$A$2:$A$181&gt;=$B$1)*('기록'!$A$2:$A$181&lt;=$B$2))),136),"")</f>
      </c>
      <c r="J140">
        <f>IF(I140="","",SUMIFS('기록'!$G:$G,'기록'!$C:$C,I140,'기록'!$A:$A,"&gt;="&amp;$B$1,'기록'!$A:$A,"&lt;="&amp;$B$2))</f>
      </c>
      <c r="K140">
        <f>IF(I140="","",COUNTA(_xlfn.UNIQUE(_xlfn.FILTER('기록'!$A:$A,(('기록'!$C:$C=I140)*('기록'!$A:$A&gt;=$B$1)*('기록'!$A:$A&lt;=$B$2))))))</f>
      </c>
      <c r="L140">
        <f>IF(I140="","",J140)</f>
      </c>
    </row>
    <row r="141" spans="1:12" x14ac:dyDescent="0.25">
      <c r="A141">
        <f>IFERROR(INDEX($N$5:$Q$204,137,1),"")</f>
      </c>
      <c r="B141">
        <f>IFERROR(INDEX($N$5:$Q$204,137,2),"")</f>
      </c>
      <c r="C141">
        <f>IFERROR(INDEX($N$5:$Q$204,137,3),"")</f>
      </c>
      <c r="D141">
        <f>IFERROR(INDEX($N$5:$Q$204,137,4),"")</f>
      </c>
      <c r="H141">
        <f>IF(I141="","",137)</f>
      </c>
      <c r="I141">
        <f>IFERROR(INDEX(_xlfn.UNIQUE(_xlfn.FILTER('기록'!$C$2:$C$181,('기록'!$C$2:$C$181&lt;&gt;"")*('기록'!$A$2:$A$181&gt;=$B$1)*('기록'!$A$2:$A$181&lt;=$B$2))),137),"")</f>
      </c>
      <c r="J141">
        <f>IF(I141="","",SUMIFS('기록'!$G:$G,'기록'!$C:$C,I141,'기록'!$A:$A,"&gt;="&amp;$B$1,'기록'!$A:$A,"&lt;="&amp;$B$2))</f>
      </c>
      <c r="K141">
        <f>IF(I141="","",COUNTA(_xlfn.UNIQUE(_xlfn.FILTER('기록'!$A:$A,(('기록'!$C:$C=I141)*('기록'!$A:$A&gt;=$B$1)*('기록'!$A:$A&lt;=$B$2))))))</f>
      </c>
      <c r="L141">
        <f>IF(I141="","",J141)</f>
      </c>
    </row>
    <row r="142" spans="1:12" x14ac:dyDescent="0.25">
      <c r="A142">
        <f>IFERROR(INDEX($N$5:$Q$204,138,1),"")</f>
      </c>
      <c r="B142">
        <f>IFERROR(INDEX($N$5:$Q$204,138,2),"")</f>
      </c>
      <c r="C142">
        <f>IFERROR(INDEX($N$5:$Q$204,138,3),"")</f>
      </c>
      <c r="D142">
        <f>IFERROR(INDEX($N$5:$Q$204,138,4),"")</f>
      </c>
      <c r="H142">
        <f>IF(I142="","",138)</f>
      </c>
      <c r="I142">
        <f>IFERROR(INDEX(_xlfn.UNIQUE(_xlfn.FILTER('기록'!$C$2:$C$181,('기록'!$C$2:$C$181&lt;&gt;"")*('기록'!$A$2:$A$181&gt;=$B$1)*('기록'!$A$2:$A$181&lt;=$B$2))),138),"")</f>
      </c>
      <c r="J142">
        <f>IF(I142="","",SUMIFS('기록'!$G:$G,'기록'!$C:$C,I142,'기록'!$A:$A,"&gt;="&amp;$B$1,'기록'!$A:$A,"&lt;="&amp;$B$2))</f>
      </c>
      <c r="K142">
        <f>IF(I142="","",COUNTA(_xlfn.UNIQUE(_xlfn.FILTER('기록'!$A:$A,(('기록'!$C:$C=I142)*('기록'!$A:$A&gt;=$B$1)*('기록'!$A:$A&lt;=$B$2))))))</f>
      </c>
      <c r="L142">
        <f>IF(I142="","",J142)</f>
      </c>
    </row>
    <row r="143" spans="1:12" x14ac:dyDescent="0.25">
      <c r="A143">
        <f>IFERROR(INDEX($N$5:$Q$204,139,1),"")</f>
      </c>
      <c r="B143">
        <f>IFERROR(INDEX($N$5:$Q$204,139,2),"")</f>
      </c>
      <c r="C143">
        <f>IFERROR(INDEX($N$5:$Q$204,139,3),"")</f>
      </c>
      <c r="D143">
        <f>IFERROR(INDEX($N$5:$Q$204,139,4),"")</f>
      </c>
      <c r="H143">
        <f>IF(I143="","",139)</f>
      </c>
      <c r="I143">
        <f>IFERROR(INDEX(_xlfn.UNIQUE(_xlfn.FILTER('기록'!$C$2:$C$181,('기록'!$C$2:$C$181&lt;&gt;"")*('기록'!$A$2:$A$181&gt;=$B$1)*('기록'!$A$2:$A$181&lt;=$B$2))),139),"")</f>
      </c>
      <c r="J143">
        <f>IF(I143="","",SUMIFS('기록'!$G:$G,'기록'!$C:$C,I143,'기록'!$A:$A,"&gt;="&amp;$B$1,'기록'!$A:$A,"&lt;="&amp;$B$2))</f>
      </c>
      <c r="K143">
        <f>IF(I143="","",COUNTA(_xlfn.UNIQUE(_xlfn.FILTER('기록'!$A:$A,(('기록'!$C:$C=I143)*('기록'!$A:$A&gt;=$B$1)*('기록'!$A:$A&lt;=$B$2))))))</f>
      </c>
      <c r="L143">
        <f>IF(I143="","",J143)</f>
      </c>
    </row>
    <row r="144" spans="1:12" x14ac:dyDescent="0.25">
      <c r="A144">
        <f>IFERROR(INDEX($N$5:$Q$204,140,1),"")</f>
      </c>
      <c r="B144">
        <f>IFERROR(INDEX($N$5:$Q$204,140,2),"")</f>
      </c>
      <c r="C144">
        <f>IFERROR(INDEX($N$5:$Q$204,140,3),"")</f>
      </c>
      <c r="D144">
        <f>IFERROR(INDEX($N$5:$Q$204,140,4),"")</f>
      </c>
      <c r="H144">
        <f>IF(I144="","",140)</f>
      </c>
      <c r="I144">
        <f>IFERROR(INDEX(_xlfn.UNIQUE(_xlfn.FILTER('기록'!$C$2:$C$181,('기록'!$C$2:$C$181&lt;&gt;"")*('기록'!$A$2:$A$181&gt;=$B$1)*('기록'!$A$2:$A$181&lt;=$B$2))),140),"")</f>
      </c>
      <c r="J144">
        <f>IF(I144="","",SUMIFS('기록'!$G:$G,'기록'!$C:$C,I144,'기록'!$A:$A,"&gt;="&amp;$B$1,'기록'!$A:$A,"&lt;="&amp;$B$2))</f>
      </c>
      <c r="K144">
        <f>IF(I144="","",COUNTA(_xlfn.UNIQUE(_xlfn.FILTER('기록'!$A:$A,(('기록'!$C:$C=I144)*('기록'!$A:$A&gt;=$B$1)*('기록'!$A:$A&lt;=$B$2))))))</f>
      </c>
      <c r="L144">
        <f>IF(I144="","",J144)</f>
      </c>
    </row>
    <row r="145" spans="1:12" x14ac:dyDescent="0.25">
      <c r="A145">
        <f>IFERROR(INDEX($N$5:$Q$204,141,1),"")</f>
      </c>
      <c r="B145">
        <f>IFERROR(INDEX($N$5:$Q$204,141,2),"")</f>
      </c>
      <c r="C145">
        <f>IFERROR(INDEX($N$5:$Q$204,141,3),"")</f>
      </c>
      <c r="D145">
        <f>IFERROR(INDEX($N$5:$Q$204,141,4),"")</f>
      </c>
      <c r="H145">
        <f>IF(I145="","",141)</f>
      </c>
      <c r="I145">
        <f>IFERROR(INDEX(_xlfn.UNIQUE(_xlfn.FILTER('기록'!$C$2:$C$181,('기록'!$C$2:$C$181&lt;&gt;"")*('기록'!$A$2:$A$181&gt;=$B$1)*('기록'!$A$2:$A$181&lt;=$B$2))),141),"")</f>
      </c>
      <c r="J145">
        <f>IF(I145="","",SUMIFS('기록'!$G:$G,'기록'!$C:$C,I145,'기록'!$A:$A,"&gt;="&amp;$B$1,'기록'!$A:$A,"&lt;="&amp;$B$2))</f>
      </c>
      <c r="K145">
        <f>IF(I145="","",COUNTA(_xlfn.UNIQUE(_xlfn.FILTER('기록'!$A:$A,(('기록'!$C:$C=I145)*('기록'!$A:$A&gt;=$B$1)*('기록'!$A:$A&lt;=$B$2))))))</f>
      </c>
      <c r="L145">
        <f>IF(I145="","",J145)</f>
      </c>
    </row>
    <row r="146" spans="1:12" x14ac:dyDescent="0.25">
      <c r="A146">
        <f>IFERROR(INDEX($N$5:$Q$204,142,1),"")</f>
      </c>
      <c r="B146">
        <f>IFERROR(INDEX($N$5:$Q$204,142,2),"")</f>
      </c>
      <c r="C146">
        <f>IFERROR(INDEX($N$5:$Q$204,142,3),"")</f>
      </c>
      <c r="D146">
        <f>IFERROR(INDEX($N$5:$Q$204,142,4),"")</f>
      </c>
      <c r="H146">
        <f>IF(I146="","",142)</f>
      </c>
      <c r="I146">
        <f>IFERROR(INDEX(_xlfn.UNIQUE(_xlfn.FILTER('기록'!$C$2:$C$181,('기록'!$C$2:$C$181&lt;&gt;"")*('기록'!$A$2:$A$181&gt;=$B$1)*('기록'!$A$2:$A$181&lt;=$B$2))),142),"")</f>
      </c>
      <c r="J146">
        <f>IF(I146="","",SUMIFS('기록'!$G:$G,'기록'!$C:$C,I146,'기록'!$A:$A,"&gt;="&amp;$B$1,'기록'!$A:$A,"&lt;="&amp;$B$2))</f>
      </c>
      <c r="K146">
        <f>IF(I146="","",COUNTA(_xlfn.UNIQUE(_xlfn.FILTER('기록'!$A:$A,(('기록'!$C:$C=I146)*('기록'!$A:$A&gt;=$B$1)*('기록'!$A:$A&lt;=$B$2))))))</f>
      </c>
      <c r="L146">
        <f>IF(I146="","",J146)</f>
      </c>
    </row>
    <row r="147" spans="1:12" x14ac:dyDescent="0.25">
      <c r="A147">
        <f>IFERROR(INDEX($N$5:$Q$204,143,1),"")</f>
      </c>
      <c r="B147">
        <f>IFERROR(INDEX($N$5:$Q$204,143,2),"")</f>
      </c>
      <c r="C147">
        <f>IFERROR(INDEX($N$5:$Q$204,143,3),"")</f>
      </c>
      <c r="D147">
        <f>IFERROR(INDEX($N$5:$Q$204,143,4),"")</f>
      </c>
      <c r="H147">
        <f>IF(I147="","",143)</f>
      </c>
      <c r="I147">
        <f>IFERROR(INDEX(_xlfn.UNIQUE(_xlfn.FILTER('기록'!$C$2:$C$181,('기록'!$C$2:$C$181&lt;&gt;"")*('기록'!$A$2:$A$181&gt;=$B$1)*('기록'!$A$2:$A$181&lt;=$B$2))),143),"")</f>
      </c>
      <c r="J147">
        <f>IF(I147="","",SUMIFS('기록'!$G:$G,'기록'!$C:$C,I147,'기록'!$A:$A,"&gt;="&amp;$B$1,'기록'!$A:$A,"&lt;="&amp;$B$2))</f>
      </c>
      <c r="K147">
        <f>IF(I147="","",COUNTA(_xlfn.UNIQUE(_xlfn.FILTER('기록'!$A:$A,(('기록'!$C:$C=I147)*('기록'!$A:$A&gt;=$B$1)*('기록'!$A:$A&lt;=$B$2))))))</f>
      </c>
      <c r="L147">
        <f>IF(I147="","",J147)</f>
      </c>
    </row>
    <row r="148" spans="1:12" x14ac:dyDescent="0.25">
      <c r="A148">
        <f>IFERROR(INDEX($N$5:$Q$204,144,1),"")</f>
      </c>
      <c r="B148">
        <f>IFERROR(INDEX($N$5:$Q$204,144,2),"")</f>
      </c>
      <c r="C148">
        <f>IFERROR(INDEX($N$5:$Q$204,144,3),"")</f>
      </c>
      <c r="D148">
        <f>IFERROR(INDEX($N$5:$Q$204,144,4),"")</f>
      </c>
      <c r="H148">
        <f>IF(I148="","",144)</f>
      </c>
      <c r="I148">
        <f>IFERROR(INDEX(_xlfn.UNIQUE(_xlfn.FILTER('기록'!$C$2:$C$181,('기록'!$C$2:$C$181&lt;&gt;"")*('기록'!$A$2:$A$181&gt;=$B$1)*('기록'!$A$2:$A$181&lt;=$B$2))),144),"")</f>
      </c>
      <c r="J148">
        <f>IF(I148="","",SUMIFS('기록'!$G:$G,'기록'!$C:$C,I148,'기록'!$A:$A,"&gt;="&amp;$B$1,'기록'!$A:$A,"&lt;="&amp;$B$2))</f>
      </c>
      <c r="K148">
        <f>IF(I148="","",COUNTA(_xlfn.UNIQUE(_xlfn.FILTER('기록'!$A:$A,(('기록'!$C:$C=I148)*('기록'!$A:$A&gt;=$B$1)*('기록'!$A:$A&lt;=$B$2))))))</f>
      </c>
      <c r="L148">
        <f>IF(I148="","",J148)</f>
      </c>
    </row>
    <row r="149" spans="1:12" x14ac:dyDescent="0.25">
      <c r="A149">
        <f>IFERROR(INDEX($N$5:$Q$204,145,1),"")</f>
      </c>
      <c r="B149">
        <f>IFERROR(INDEX($N$5:$Q$204,145,2),"")</f>
      </c>
      <c r="C149">
        <f>IFERROR(INDEX($N$5:$Q$204,145,3),"")</f>
      </c>
      <c r="D149">
        <f>IFERROR(INDEX($N$5:$Q$204,145,4),"")</f>
      </c>
      <c r="H149">
        <f>IF(I149="","",145)</f>
      </c>
      <c r="I149">
        <f>IFERROR(INDEX(_xlfn.UNIQUE(_xlfn.FILTER('기록'!$C$2:$C$181,('기록'!$C$2:$C$181&lt;&gt;"")*('기록'!$A$2:$A$181&gt;=$B$1)*('기록'!$A$2:$A$181&lt;=$B$2))),145),"")</f>
      </c>
      <c r="J149">
        <f>IF(I149="","",SUMIFS('기록'!$G:$G,'기록'!$C:$C,I149,'기록'!$A:$A,"&gt;="&amp;$B$1,'기록'!$A:$A,"&lt;="&amp;$B$2))</f>
      </c>
      <c r="K149">
        <f>IF(I149="","",COUNTA(_xlfn.UNIQUE(_xlfn.FILTER('기록'!$A:$A,(('기록'!$C:$C=I149)*('기록'!$A:$A&gt;=$B$1)*('기록'!$A:$A&lt;=$B$2))))))</f>
      </c>
      <c r="L149">
        <f>IF(I149="","",J149)</f>
      </c>
    </row>
    <row r="150" spans="1:12" x14ac:dyDescent="0.25">
      <c r="A150">
        <f>IFERROR(INDEX($N$5:$Q$204,146,1),"")</f>
      </c>
      <c r="B150">
        <f>IFERROR(INDEX($N$5:$Q$204,146,2),"")</f>
      </c>
      <c r="C150">
        <f>IFERROR(INDEX($N$5:$Q$204,146,3),"")</f>
      </c>
      <c r="D150">
        <f>IFERROR(INDEX($N$5:$Q$204,146,4),"")</f>
      </c>
      <c r="H150">
        <f>IF(I150="","",146)</f>
      </c>
      <c r="I150">
        <f>IFERROR(INDEX(_xlfn.UNIQUE(_xlfn.FILTER('기록'!$C$2:$C$181,('기록'!$C$2:$C$181&lt;&gt;"")*('기록'!$A$2:$A$181&gt;=$B$1)*('기록'!$A$2:$A$181&lt;=$B$2))),146),"")</f>
      </c>
      <c r="J150">
        <f>IF(I150="","",SUMIFS('기록'!$G:$G,'기록'!$C:$C,I150,'기록'!$A:$A,"&gt;="&amp;$B$1,'기록'!$A:$A,"&lt;="&amp;$B$2))</f>
      </c>
      <c r="K150">
        <f>IF(I150="","",COUNTA(_xlfn.UNIQUE(_xlfn.FILTER('기록'!$A:$A,(('기록'!$C:$C=I150)*('기록'!$A:$A&gt;=$B$1)*('기록'!$A:$A&lt;=$B$2))))))</f>
      </c>
      <c r="L150">
        <f>IF(I150="","",J150)</f>
      </c>
    </row>
    <row r="151" spans="1:12" x14ac:dyDescent="0.25">
      <c r="A151">
        <f>IFERROR(INDEX($N$5:$Q$204,147,1),"")</f>
      </c>
      <c r="B151">
        <f>IFERROR(INDEX($N$5:$Q$204,147,2),"")</f>
      </c>
      <c r="C151">
        <f>IFERROR(INDEX($N$5:$Q$204,147,3),"")</f>
      </c>
      <c r="D151">
        <f>IFERROR(INDEX($N$5:$Q$204,147,4),"")</f>
      </c>
      <c r="H151">
        <f>IF(I151="","",147)</f>
      </c>
      <c r="I151">
        <f>IFERROR(INDEX(_xlfn.UNIQUE(_xlfn.FILTER('기록'!$C$2:$C$181,('기록'!$C$2:$C$181&lt;&gt;"")*('기록'!$A$2:$A$181&gt;=$B$1)*('기록'!$A$2:$A$181&lt;=$B$2))),147),"")</f>
      </c>
      <c r="J151">
        <f>IF(I151="","",SUMIFS('기록'!$G:$G,'기록'!$C:$C,I151,'기록'!$A:$A,"&gt;="&amp;$B$1,'기록'!$A:$A,"&lt;="&amp;$B$2))</f>
      </c>
      <c r="K151">
        <f>IF(I151="","",COUNTA(_xlfn.UNIQUE(_xlfn.FILTER('기록'!$A:$A,(('기록'!$C:$C=I151)*('기록'!$A:$A&gt;=$B$1)*('기록'!$A:$A&lt;=$B$2))))))</f>
      </c>
      <c r="L151">
        <f>IF(I151="","",J151)</f>
      </c>
    </row>
    <row r="152" spans="1:12" x14ac:dyDescent="0.25">
      <c r="A152">
        <f>IFERROR(INDEX($N$5:$Q$204,148,1),"")</f>
      </c>
      <c r="B152">
        <f>IFERROR(INDEX($N$5:$Q$204,148,2),"")</f>
      </c>
      <c r="C152">
        <f>IFERROR(INDEX($N$5:$Q$204,148,3),"")</f>
      </c>
      <c r="D152">
        <f>IFERROR(INDEX($N$5:$Q$204,148,4),"")</f>
      </c>
      <c r="H152">
        <f>IF(I152="","",148)</f>
      </c>
      <c r="I152">
        <f>IFERROR(INDEX(_xlfn.UNIQUE(_xlfn.FILTER('기록'!$C$2:$C$181,('기록'!$C$2:$C$181&lt;&gt;"")*('기록'!$A$2:$A$181&gt;=$B$1)*('기록'!$A$2:$A$181&lt;=$B$2))),148),"")</f>
      </c>
      <c r="J152">
        <f>IF(I152="","",SUMIFS('기록'!$G:$G,'기록'!$C:$C,I152,'기록'!$A:$A,"&gt;="&amp;$B$1,'기록'!$A:$A,"&lt;="&amp;$B$2))</f>
      </c>
      <c r="K152">
        <f>IF(I152="","",COUNTA(_xlfn.UNIQUE(_xlfn.FILTER('기록'!$A:$A,(('기록'!$C:$C=I152)*('기록'!$A:$A&gt;=$B$1)*('기록'!$A:$A&lt;=$B$2))))))</f>
      </c>
      <c r="L152">
        <f>IF(I152="","",J152)</f>
      </c>
    </row>
    <row r="153" spans="1:12" x14ac:dyDescent="0.25">
      <c r="A153">
        <f>IFERROR(INDEX($N$5:$Q$204,149,1),"")</f>
      </c>
      <c r="B153">
        <f>IFERROR(INDEX($N$5:$Q$204,149,2),"")</f>
      </c>
      <c r="C153">
        <f>IFERROR(INDEX($N$5:$Q$204,149,3),"")</f>
      </c>
      <c r="D153">
        <f>IFERROR(INDEX($N$5:$Q$204,149,4),"")</f>
      </c>
      <c r="H153">
        <f>IF(I153="","",149)</f>
      </c>
      <c r="I153">
        <f>IFERROR(INDEX(_xlfn.UNIQUE(_xlfn.FILTER('기록'!$C$2:$C$181,('기록'!$C$2:$C$181&lt;&gt;"")*('기록'!$A$2:$A$181&gt;=$B$1)*('기록'!$A$2:$A$181&lt;=$B$2))),149),"")</f>
      </c>
      <c r="J153">
        <f>IF(I153="","",SUMIFS('기록'!$G:$G,'기록'!$C:$C,I153,'기록'!$A:$A,"&gt;="&amp;$B$1,'기록'!$A:$A,"&lt;="&amp;$B$2))</f>
      </c>
      <c r="K153">
        <f>IF(I153="","",COUNTA(_xlfn.UNIQUE(_xlfn.FILTER('기록'!$A:$A,(('기록'!$C:$C=I153)*('기록'!$A:$A&gt;=$B$1)*('기록'!$A:$A&lt;=$B$2))))))</f>
      </c>
      <c r="L153">
        <f>IF(I153="","",J153)</f>
      </c>
    </row>
    <row r="154" spans="1:12" x14ac:dyDescent="0.25">
      <c r="A154">
        <f>IFERROR(INDEX($N$5:$Q$204,150,1),"")</f>
      </c>
      <c r="B154">
        <f>IFERROR(INDEX($N$5:$Q$204,150,2),"")</f>
      </c>
      <c r="C154">
        <f>IFERROR(INDEX($N$5:$Q$204,150,3),"")</f>
      </c>
      <c r="D154">
        <f>IFERROR(INDEX($N$5:$Q$204,150,4),"")</f>
      </c>
      <c r="H154">
        <f>IF(I154="","",150)</f>
      </c>
      <c r="I154">
        <f>IFERROR(INDEX(_xlfn.UNIQUE(_xlfn.FILTER('기록'!$C$2:$C$181,('기록'!$C$2:$C$181&lt;&gt;"")*('기록'!$A$2:$A$181&gt;=$B$1)*('기록'!$A$2:$A$181&lt;=$B$2))),150),"")</f>
      </c>
      <c r="J154">
        <f>IF(I154="","",SUMIFS('기록'!$G:$G,'기록'!$C:$C,I154,'기록'!$A:$A,"&gt;="&amp;$B$1,'기록'!$A:$A,"&lt;="&amp;$B$2))</f>
      </c>
      <c r="K154">
        <f>IF(I154="","",COUNTA(_xlfn.UNIQUE(_xlfn.FILTER('기록'!$A:$A,(('기록'!$C:$C=I154)*('기록'!$A:$A&gt;=$B$1)*('기록'!$A:$A&lt;=$B$2))))))</f>
      </c>
      <c r="L154">
        <f>IF(I154="","",J154)</f>
      </c>
    </row>
    <row r="155" spans="1:12" x14ac:dyDescent="0.25">
      <c r="A155">
        <f>IFERROR(INDEX($N$5:$Q$204,151,1),"")</f>
      </c>
      <c r="B155">
        <f>IFERROR(INDEX($N$5:$Q$204,151,2),"")</f>
      </c>
      <c r="C155">
        <f>IFERROR(INDEX($N$5:$Q$204,151,3),"")</f>
      </c>
      <c r="D155">
        <f>IFERROR(INDEX($N$5:$Q$204,151,4),"")</f>
      </c>
      <c r="H155">
        <f>IF(I155="","",151)</f>
      </c>
      <c r="I155">
        <f>IFERROR(INDEX(_xlfn.UNIQUE(_xlfn.FILTER('기록'!$C$2:$C$181,('기록'!$C$2:$C$181&lt;&gt;"")*('기록'!$A$2:$A$181&gt;=$B$1)*('기록'!$A$2:$A$181&lt;=$B$2))),151),"")</f>
      </c>
      <c r="J155">
        <f>IF(I155="","",SUMIFS('기록'!$G:$G,'기록'!$C:$C,I155,'기록'!$A:$A,"&gt;="&amp;$B$1,'기록'!$A:$A,"&lt;="&amp;$B$2))</f>
      </c>
      <c r="K155">
        <f>IF(I155="","",COUNTA(_xlfn.UNIQUE(_xlfn.FILTER('기록'!$A:$A,(('기록'!$C:$C=I155)*('기록'!$A:$A&gt;=$B$1)*('기록'!$A:$A&lt;=$B$2))))))</f>
      </c>
      <c r="L155">
        <f>IF(I155="","",J155)</f>
      </c>
    </row>
    <row r="156" spans="1:12" x14ac:dyDescent="0.25">
      <c r="A156">
        <f>IFERROR(INDEX($N$5:$Q$204,152,1),"")</f>
      </c>
      <c r="B156">
        <f>IFERROR(INDEX($N$5:$Q$204,152,2),"")</f>
      </c>
      <c r="C156">
        <f>IFERROR(INDEX($N$5:$Q$204,152,3),"")</f>
      </c>
      <c r="D156">
        <f>IFERROR(INDEX($N$5:$Q$204,152,4),"")</f>
      </c>
      <c r="H156">
        <f>IF(I156="","",152)</f>
      </c>
      <c r="I156">
        <f>IFERROR(INDEX(_xlfn.UNIQUE(_xlfn.FILTER('기록'!$C$2:$C$181,('기록'!$C$2:$C$181&lt;&gt;"")*('기록'!$A$2:$A$181&gt;=$B$1)*('기록'!$A$2:$A$181&lt;=$B$2))),152),"")</f>
      </c>
      <c r="J156">
        <f>IF(I156="","",SUMIFS('기록'!$G:$G,'기록'!$C:$C,I156,'기록'!$A:$A,"&gt;="&amp;$B$1,'기록'!$A:$A,"&lt;="&amp;$B$2))</f>
      </c>
      <c r="K156">
        <f>IF(I156="","",COUNTA(_xlfn.UNIQUE(_xlfn.FILTER('기록'!$A:$A,(('기록'!$C:$C=I156)*('기록'!$A:$A&gt;=$B$1)*('기록'!$A:$A&lt;=$B$2))))))</f>
      </c>
      <c r="L156">
        <f>IF(I156="","",J156)</f>
      </c>
    </row>
    <row r="157" spans="1:12" x14ac:dyDescent="0.25">
      <c r="A157">
        <f>IFERROR(INDEX($N$5:$Q$204,153,1),"")</f>
      </c>
      <c r="B157">
        <f>IFERROR(INDEX($N$5:$Q$204,153,2),"")</f>
      </c>
      <c r="C157">
        <f>IFERROR(INDEX($N$5:$Q$204,153,3),"")</f>
      </c>
      <c r="D157">
        <f>IFERROR(INDEX($N$5:$Q$204,153,4),"")</f>
      </c>
      <c r="H157">
        <f>IF(I157="","",153)</f>
      </c>
      <c r="I157">
        <f>IFERROR(INDEX(_xlfn.UNIQUE(_xlfn.FILTER('기록'!$C$2:$C$181,('기록'!$C$2:$C$181&lt;&gt;"")*('기록'!$A$2:$A$181&gt;=$B$1)*('기록'!$A$2:$A$181&lt;=$B$2))),153),"")</f>
      </c>
      <c r="J157">
        <f>IF(I157="","",SUMIFS('기록'!$G:$G,'기록'!$C:$C,I157,'기록'!$A:$A,"&gt;="&amp;$B$1,'기록'!$A:$A,"&lt;="&amp;$B$2))</f>
      </c>
      <c r="K157">
        <f>IF(I157="","",COUNTA(_xlfn.UNIQUE(_xlfn.FILTER('기록'!$A:$A,(('기록'!$C:$C=I157)*('기록'!$A:$A&gt;=$B$1)*('기록'!$A:$A&lt;=$B$2))))))</f>
      </c>
      <c r="L157">
        <f>IF(I157="","",J157)</f>
      </c>
    </row>
    <row r="158" spans="1:12" x14ac:dyDescent="0.25">
      <c r="A158">
        <f>IFERROR(INDEX($N$5:$Q$204,154,1),"")</f>
      </c>
      <c r="B158">
        <f>IFERROR(INDEX($N$5:$Q$204,154,2),"")</f>
      </c>
      <c r="C158">
        <f>IFERROR(INDEX($N$5:$Q$204,154,3),"")</f>
      </c>
      <c r="D158">
        <f>IFERROR(INDEX($N$5:$Q$204,154,4),"")</f>
      </c>
      <c r="H158">
        <f>IF(I158="","",154)</f>
      </c>
      <c r="I158">
        <f>IFERROR(INDEX(_xlfn.UNIQUE(_xlfn.FILTER('기록'!$C$2:$C$181,('기록'!$C$2:$C$181&lt;&gt;"")*('기록'!$A$2:$A$181&gt;=$B$1)*('기록'!$A$2:$A$181&lt;=$B$2))),154),"")</f>
      </c>
      <c r="J158">
        <f>IF(I158="","",SUMIFS('기록'!$G:$G,'기록'!$C:$C,I158,'기록'!$A:$A,"&gt;="&amp;$B$1,'기록'!$A:$A,"&lt;="&amp;$B$2))</f>
      </c>
      <c r="K158">
        <f>IF(I158="","",COUNTA(_xlfn.UNIQUE(_xlfn.FILTER('기록'!$A:$A,(('기록'!$C:$C=I158)*('기록'!$A:$A&gt;=$B$1)*('기록'!$A:$A&lt;=$B$2))))))</f>
      </c>
      <c r="L158">
        <f>IF(I158="","",J158)</f>
      </c>
    </row>
    <row r="159" spans="1:12" x14ac:dyDescent="0.25">
      <c r="A159">
        <f>IFERROR(INDEX($N$5:$Q$204,155,1),"")</f>
      </c>
      <c r="B159">
        <f>IFERROR(INDEX($N$5:$Q$204,155,2),"")</f>
      </c>
      <c r="C159">
        <f>IFERROR(INDEX($N$5:$Q$204,155,3),"")</f>
      </c>
      <c r="D159">
        <f>IFERROR(INDEX($N$5:$Q$204,155,4),"")</f>
      </c>
      <c r="H159">
        <f>IF(I159="","",155)</f>
      </c>
      <c r="I159">
        <f>IFERROR(INDEX(_xlfn.UNIQUE(_xlfn.FILTER('기록'!$C$2:$C$181,('기록'!$C$2:$C$181&lt;&gt;"")*('기록'!$A$2:$A$181&gt;=$B$1)*('기록'!$A$2:$A$181&lt;=$B$2))),155),"")</f>
      </c>
      <c r="J159">
        <f>IF(I159="","",SUMIFS('기록'!$G:$G,'기록'!$C:$C,I159,'기록'!$A:$A,"&gt;="&amp;$B$1,'기록'!$A:$A,"&lt;="&amp;$B$2))</f>
      </c>
      <c r="K159">
        <f>IF(I159="","",COUNTA(_xlfn.UNIQUE(_xlfn.FILTER('기록'!$A:$A,(('기록'!$C:$C=I159)*('기록'!$A:$A&gt;=$B$1)*('기록'!$A:$A&lt;=$B$2))))))</f>
      </c>
      <c r="L159">
        <f>IF(I159="","",J159)</f>
      </c>
    </row>
    <row r="160" spans="1:12" x14ac:dyDescent="0.25">
      <c r="A160">
        <f>IFERROR(INDEX($N$5:$Q$204,156,1),"")</f>
      </c>
      <c r="B160">
        <f>IFERROR(INDEX($N$5:$Q$204,156,2),"")</f>
      </c>
      <c r="C160">
        <f>IFERROR(INDEX($N$5:$Q$204,156,3),"")</f>
      </c>
      <c r="D160">
        <f>IFERROR(INDEX($N$5:$Q$204,156,4),"")</f>
      </c>
      <c r="H160">
        <f>IF(I160="","",156)</f>
      </c>
      <c r="I160">
        <f>IFERROR(INDEX(_xlfn.UNIQUE(_xlfn.FILTER('기록'!$C$2:$C$181,('기록'!$C$2:$C$181&lt;&gt;"")*('기록'!$A$2:$A$181&gt;=$B$1)*('기록'!$A$2:$A$181&lt;=$B$2))),156),"")</f>
      </c>
      <c r="J160">
        <f>IF(I160="","",SUMIFS('기록'!$G:$G,'기록'!$C:$C,I160,'기록'!$A:$A,"&gt;="&amp;$B$1,'기록'!$A:$A,"&lt;="&amp;$B$2))</f>
      </c>
      <c r="K160">
        <f>IF(I160="","",COUNTA(_xlfn.UNIQUE(_xlfn.FILTER('기록'!$A:$A,(('기록'!$C:$C=I160)*('기록'!$A:$A&gt;=$B$1)*('기록'!$A:$A&lt;=$B$2))))))</f>
      </c>
      <c r="L160">
        <f>IF(I160="","",J160)</f>
      </c>
    </row>
    <row r="161" spans="1:12" x14ac:dyDescent="0.25">
      <c r="A161">
        <f>IFERROR(INDEX($N$5:$Q$204,157,1),"")</f>
      </c>
      <c r="B161">
        <f>IFERROR(INDEX($N$5:$Q$204,157,2),"")</f>
      </c>
      <c r="C161">
        <f>IFERROR(INDEX($N$5:$Q$204,157,3),"")</f>
      </c>
      <c r="D161">
        <f>IFERROR(INDEX($N$5:$Q$204,157,4),"")</f>
      </c>
      <c r="H161">
        <f>IF(I161="","",157)</f>
      </c>
      <c r="I161">
        <f>IFERROR(INDEX(_xlfn.UNIQUE(_xlfn.FILTER('기록'!$C$2:$C$181,('기록'!$C$2:$C$181&lt;&gt;"")*('기록'!$A$2:$A$181&gt;=$B$1)*('기록'!$A$2:$A$181&lt;=$B$2))),157),"")</f>
      </c>
      <c r="J161">
        <f>IF(I161="","",SUMIFS('기록'!$G:$G,'기록'!$C:$C,I161,'기록'!$A:$A,"&gt;="&amp;$B$1,'기록'!$A:$A,"&lt;="&amp;$B$2))</f>
      </c>
      <c r="K161">
        <f>IF(I161="","",COUNTA(_xlfn.UNIQUE(_xlfn.FILTER('기록'!$A:$A,(('기록'!$C:$C=I161)*('기록'!$A:$A&gt;=$B$1)*('기록'!$A:$A&lt;=$B$2))))))</f>
      </c>
      <c r="L161">
        <f>IF(I161="","",J161)</f>
      </c>
    </row>
    <row r="162" spans="1:12" x14ac:dyDescent="0.25">
      <c r="A162">
        <f>IFERROR(INDEX($N$5:$Q$204,158,1),"")</f>
      </c>
      <c r="B162">
        <f>IFERROR(INDEX($N$5:$Q$204,158,2),"")</f>
      </c>
      <c r="C162">
        <f>IFERROR(INDEX($N$5:$Q$204,158,3),"")</f>
      </c>
      <c r="D162">
        <f>IFERROR(INDEX($N$5:$Q$204,158,4),"")</f>
      </c>
      <c r="H162">
        <f>IF(I162="","",158)</f>
      </c>
      <c r="I162">
        <f>IFERROR(INDEX(_xlfn.UNIQUE(_xlfn.FILTER('기록'!$C$2:$C$181,('기록'!$C$2:$C$181&lt;&gt;"")*('기록'!$A$2:$A$181&gt;=$B$1)*('기록'!$A$2:$A$181&lt;=$B$2))),158),"")</f>
      </c>
      <c r="J162">
        <f>IF(I162="","",SUMIFS('기록'!$G:$G,'기록'!$C:$C,I162,'기록'!$A:$A,"&gt;="&amp;$B$1,'기록'!$A:$A,"&lt;="&amp;$B$2))</f>
      </c>
      <c r="K162">
        <f>IF(I162="","",COUNTA(_xlfn.UNIQUE(_xlfn.FILTER('기록'!$A:$A,(('기록'!$C:$C=I162)*('기록'!$A:$A&gt;=$B$1)*('기록'!$A:$A&lt;=$B$2))))))</f>
      </c>
      <c r="L162">
        <f>IF(I162="","",J162)</f>
      </c>
    </row>
    <row r="163" spans="1:12" x14ac:dyDescent="0.25">
      <c r="A163">
        <f>IFERROR(INDEX($N$5:$Q$204,159,1),"")</f>
      </c>
      <c r="B163">
        <f>IFERROR(INDEX($N$5:$Q$204,159,2),"")</f>
      </c>
      <c r="C163">
        <f>IFERROR(INDEX($N$5:$Q$204,159,3),"")</f>
      </c>
      <c r="D163">
        <f>IFERROR(INDEX($N$5:$Q$204,159,4),"")</f>
      </c>
      <c r="H163">
        <f>IF(I163="","",159)</f>
      </c>
      <c r="I163">
        <f>IFERROR(INDEX(_xlfn.UNIQUE(_xlfn.FILTER('기록'!$C$2:$C$181,('기록'!$C$2:$C$181&lt;&gt;"")*('기록'!$A$2:$A$181&gt;=$B$1)*('기록'!$A$2:$A$181&lt;=$B$2))),159),"")</f>
      </c>
      <c r="J163">
        <f>IF(I163="","",SUMIFS('기록'!$G:$G,'기록'!$C:$C,I163,'기록'!$A:$A,"&gt;="&amp;$B$1,'기록'!$A:$A,"&lt;="&amp;$B$2))</f>
      </c>
      <c r="K163">
        <f>IF(I163="","",COUNTA(_xlfn.UNIQUE(_xlfn.FILTER('기록'!$A:$A,(('기록'!$C:$C=I163)*('기록'!$A:$A&gt;=$B$1)*('기록'!$A:$A&lt;=$B$2))))))</f>
      </c>
      <c r="L163">
        <f>IF(I163="","",J163)</f>
      </c>
    </row>
    <row r="164" spans="1:12" x14ac:dyDescent="0.25">
      <c r="A164">
        <f>IFERROR(INDEX($N$5:$Q$204,160,1),"")</f>
      </c>
      <c r="B164">
        <f>IFERROR(INDEX($N$5:$Q$204,160,2),"")</f>
      </c>
      <c r="C164">
        <f>IFERROR(INDEX($N$5:$Q$204,160,3),"")</f>
      </c>
      <c r="D164">
        <f>IFERROR(INDEX($N$5:$Q$204,160,4),"")</f>
      </c>
      <c r="H164">
        <f>IF(I164="","",160)</f>
      </c>
      <c r="I164">
        <f>IFERROR(INDEX(_xlfn.UNIQUE(_xlfn.FILTER('기록'!$C$2:$C$181,('기록'!$C$2:$C$181&lt;&gt;"")*('기록'!$A$2:$A$181&gt;=$B$1)*('기록'!$A$2:$A$181&lt;=$B$2))),160),"")</f>
      </c>
      <c r="J164">
        <f>IF(I164="","",SUMIFS('기록'!$G:$G,'기록'!$C:$C,I164,'기록'!$A:$A,"&gt;="&amp;$B$1,'기록'!$A:$A,"&lt;="&amp;$B$2))</f>
      </c>
      <c r="K164">
        <f>IF(I164="","",COUNTA(_xlfn.UNIQUE(_xlfn.FILTER('기록'!$A:$A,(('기록'!$C:$C=I164)*('기록'!$A:$A&gt;=$B$1)*('기록'!$A:$A&lt;=$B$2))))))</f>
      </c>
      <c r="L164">
        <f>IF(I164="","",J164)</f>
      </c>
    </row>
    <row r="165" spans="1:12" x14ac:dyDescent="0.25">
      <c r="A165">
        <f>IFERROR(INDEX($N$5:$Q$204,161,1),"")</f>
      </c>
      <c r="B165">
        <f>IFERROR(INDEX($N$5:$Q$204,161,2),"")</f>
      </c>
      <c r="C165">
        <f>IFERROR(INDEX($N$5:$Q$204,161,3),"")</f>
      </c>
      <c r="D165">
        <f>IFERROR(INDEX($N$5:$Q$204,161,4),"")</f>
      </c>
      <c r="H165">
        <f>IF(I165="","",161)</f>
      </c>
      <c r="I165">
        <f>IFERROR(INDEX(_xlfn.UNIQUE(_xlfn.FILTER('기록'!$C$2:$C$181,('기록'!$C$2:$C$181&lt;&gt;"")*('기록'!$A$2:$A$181&gt;=$B$1)*('기록'!$A$2:$A$181&lt;=$B$2))),161),"")</f>
      </c>
      <c r="J165">
        <f>IF(I165="","",SUMIFS('기록'!$G:$G,'기록'!$C:$C,I165,'기록'!$A:$A,"&gt;="&amp;$B$1,'기록'!$A:$A,"&lt;="&amp;$B$2))</f>
      </c>
      <c r="K165">
        <f>IF(I165="","",COUNTA(_xlfn.UNIQUE(_xlfn.FILTER('기록'!$A:$A,(('기록'!$C:$C=I165)*('기록'!$A:$A&gt;=$B$1)*('기록'!$A:$A&lt;=$B$2))))))</f>
      </c>
      <c r="L165">
        <f>IF(I165="","",J165)</f>
      </c>
    </row>
    <row r="166" spans="1:12" x14ac:dyDescent="0.25">
      <c r="A166">
        <f>IFERROR(INDEX($N$5:$Q$204,162,1),"")</f>
      </c>
      <c r="B166">
        <f>IFERROR(INDEX($N$5:$Q$204,162,2),"")</f>
      </c>
      <c r="C166">
        <f>IFERROR(INDEX($N$5:$Q$204,162,3),"")</f>
      </c>
      <c r="D166">
        <f>IFERROR(INDEX($N$5:$Q$204,162,4),"")</f>
      </c>
      <c r="H166">
        <f>IF(I166="","",162)</f>
      </c>
      <c r="I166">
        <f>IFERROR(INDEX(_xlfn.UNIQUE(_xlfn.FILTER('기록'!$C$2:$C$181,('기록'!$C$2:$C$181&lt;&gt;"")*('기록'!$A$2:$A$181&gt;=$B$1)*('기록'!$A$2:$A$181&lt;=$B$2))),162),"")</f>
      </c>
      <c r="J166">
        <f>IF(I166="","",SUMIFS('기록'!$G:$G,'기록'!$C:$C,I166,'기록'!$A:$A,"&gt;="&amp;$B$1,'기록'!$A:$A,"&lt;="&amp;$B$2))</f>
      </c>
      <c r="K166">
        <f>IF(I166="","",COUNTA(_xlfn.UNIQUE(_xlfn.FILTER('기록'!$A:$A,(('기록'!$C:$C=I166)*('기록'!$A:$A&gt;=$B$1)*('기록'!$A:$A&lt;=$B$2))))))</f>
      </c>
      <c r="L166">
        <f>IF(I166="","",J166)</f>
      </c>
    </row>
    <row r="167" spans="1:12" x14ac:dyDescent="0.25">
      <c r="A167">
        <f>IFERROR(INDEX($N$5:$Q$204,163,1),"")</f>
      </c>
      <c r="B167">
        <f>IFERROR(INDEX($N$5:$Q$204,163,2),"")</f>
      </c>
      <c r="C167">
        <f>IFERROR(INDEX($N$5:$Q$204,163,3),"")</f>
      </c>
      <c r="D167">
        <f>IFERROR(INDEX($N$5:$Q$204,163,4),"")</f>
      </c>
      <c r="H167">
        <f>IF(I167="","",163)</f>
      </c>
      <c r="I167">
        <f>IFERROR(INDEX(_xlfn.UNIQUE(_xlfn.FILTER('기록'!$C$2:$C$181,('기록'!$C$2:$C$181&lt;&gt;"")*('기록'!$A$2:$A$181&gt;=$B$1)*('기록'!$A$2:$A$181&lt;=$B$2))),163),"")</f>
      </c>
      <c r="J167">
        <f>IF(I167="","",SUMIFS('기록'!$G:$G,'기록'!$C:$C,I167,'기록'!$A:$A,"&gt;="&amp;$B$1,'기록'!$A:$A,"&lt;="&amp;$B$2))</f>
      </c>
      <c r="K167">
        <f>IF(I167="","",COUNTA(_xlfn.UNIQUE(_xlfn.FILTER('기록'!$A:$A,(('기록'!$C:$C=I167)*('기록'!$A:$A&gt;=$B$1)*('기록'!$A:$A&lt;=$B$2))))))</f>
      </c>
      <c r="L167">
        <f>IF(I167="","",J167)</f>
      </c>
    </row>
    <row r="168" spans="1:12" x14ac:dyDescent="0.25">
      <c r="A168">
        <f>IFERROR(INDEX($N$5:$Q$204,164,1),"")</f>
      </c>
      <c r="B168">
        <f>IFERROR(INDEX($N$5:$Q$204,164,2),"")</f>
      </c>
      <c r="C168">
        <f>IFERROR(INDEX($N$5:$Q$204,164,3),"")</f>
      </c>
      <c r="D168">
        <f>IFERROR(INDEX($N$5:$Q$204,164,4),"")</f>
      </c>
      <c r="H168">
        <f>IF(I168="","",164)</f>
      </c>
      <c r="I168">
        <f>IFERROR(INDEX(_xlfn.UNIQUE(_xlfn.FILTER('기록'!$C$2:$C$181,('기록'!$C$2:$C$181&lt;&gt;"")*('기록'!$A$2:$A$181&gt;=$B$1)*('기록'!$A$2:$A$181&lt;=$B$2))),164),"")</f>
      </c>
      <c r="J168">
        <f>IF(I168="","",SUMIFS('기록'!$G:$G,'기록'!$C:$C,I168,'기록'!$A:$A,"&gt;="&amp;$B$1,'기록'!$A:$A,"&lt;="&amp;$B$2))</f>
      </c>
      <c r="K168">
        <f>IF(I168="","",COUNTA(_xlfn.UNIQUE(_xlfn.FILTER('기록'!$A:$A,(('기록'!$C:$C=I168)*('기록'!$A:$A&gt;=$B$1)*('기록'!$A:$A&lt;=$B$2))))))</f>
      </c>
      <c r="L168">
        <f>IF(I168="","",J168)</f>
      </c>
    </row>
    <row r="169" spans="1:12" x14ac:dyDescent="0.25">
      <c r="A169">
        <f>IFERROR(INDEX($N$5:$Q$204,165,1),"")</f>
      </c>
      <c r="B169">
        <f>IFERROR(INDEX($N$5:$Q$204,165,2),"")</f>
      </c>
      <c r="C169">
        <f>IFERROR(INDEX($N$5:$Q$204,165,3),"")</f>
      </c>
      <c r="D169">
        <f>IFERROR(INDEX($N$5:$Q$204,165,4),"")</f>
      </c>
      <c r="H169">
        <f>IF(I169="","",165)</f>
      </c>
      <c r="I169">
        <f>IFERROR(INDEX(_xlfn.UNIQUE(_xlfn.FILTER('기록'!$C$2:$C$181,('기록'!$C$2:$C$181&lt;&gt;"")*('기록'!$A$2:$A$181&gt;=$B$1)*('기록'!$A$2:$A$181&lt;=$B$2))),165),"")</f>
      </c>
      <c r="J169">
        <f>IF(I169="","",SUMIFS('기록'!$G:$G,'기록'!$C:$C,I169,'기록'!$A:$A,"&gt;="&amp;$B$1,'기록'!$A:$A,"&lt;="&amp;$B$2))</f>
      </c>
      <c r="K169">
        <f>IF(I169="","",COUNTA(_xlfn.UNIQUE(_xlfn.FILTER('기록'!$A:$A,(('기록'!$C:$C=I169)*('기록'!$A:$A&gt;=$B$1)*('기록'!$A:$A&lt;=$B$2))))))</f>
      </c>
      <c r="L169">
        <f>IF(I169="","",J169)</f>
      </c>
    </row>
    <row r="170" spans="1:12" x14ac:dyDescent="0.25">
      <c r="A170">
        <f>IFERROR(INDEX($N$5:$Q$204,166,1),"")</f>
      </c>
      <c r="B170">
        <f>IFERROR(INDEX($N$5:$Q$204,166,2),"")</f>
      </c>
      <c r="C170">
        <f>IFERROR(INDEX($N$5:$Q$204,166,3),"")</f>
      </c>
      <c r="D170">
        <f>IFERROR(INDEX($N$5:$Q$204,166,4),"")</f>
      </c>
      <c r="H170">
        <f>IF(I170="","",166)</f>
      </c>
      <c r="I170">
        <f>IFERROR(INDEX(_xlfn.UNIQUE(_xlfn.FILTER('기록'!$C$2:$C$181,('기록'!$C$2:$C$181&lt;&gt;"")*('기록'!$A$2:$A$181&gt;=$B$1)*('기록'!$A$2:$A$181&lt;=$B$2))),166),"")</f>
      </c>
      <c r="J170">
        <f>IF(I170="","",SUMIFS('기록'!$G:$G,'기록'!$C:$C,I170,'기록'!$A:$A,"&gt;="&amp;$B$1,'기록'!$A:$A,"&lt;="&amp;$B$2))</f>
      </c>
      <c r="K170">
        <f>IF(I170="","",COUNTA(_xlfn.UNIQUE(_xlfn.FILTER('기록'!$A:$A,(('기록'!$C:$C=I170)*('기록'!$A:$A&gt;=$B$1)*('기록'!$A:$A&lt;=$B$2))))))</f>
      </c>
      <c r="L170">
        <f>IF(I170="","",J170)</f>
      </c>
    </row>
    <row r="171" spans="1:12" x14ac:dyDescent="0.25">
      <c r="A171">
        <f>IFERROR(INDEX($N$5:$Q$204,167,1),"")</f>
      </c>
      <c r="B171">
        <f>IFERROR(INDEX($N$5:$Q$204,167,2),"")</f>
      </c>
      <c r="C171">
        <f>IFERROR(INDEX($N$5:$Q$204,167,3),"")</f>
      </c>
      <c r="D171">
        <f>IFERROR(INDEX($N$5:$Q$204,167,4),"")</f>
      </c>
      <c r="H171">
        <f>IF(I171="","",167)</f>
      </c>
      <c r="I171">
        <f>IFERROR(INDEX(_xlfn.UNIQUE(_xlfn.FILTER('기록'!$C$2:$C$181,('기록'!$C$2:$C$181&lt;&gt;"")*('기록'!$A$2:$A$181&gt;=$B$1)*('기록'!$A$2:$A$181&lt;=$B$2))),167),"")</f>
      </c>
      <c r="J171">
        <f>IF(I171="","",SUMIFS('기록'!$G:$G,'기록'!$C:$C,I171,'기록'!$A:$A,"&gt;="&amp;$B$1,'기록'!$A:$A,"&lt;="&amp;$B$2))</f>
      </c>
      <c r="K171">
        <f>IF(I171="","",COUNTA(_xlfn.UNIQUE(_xlfn.FILTER('기록'!$A:$A,(('기록'!$C:$C=I171)*('기록'!$A:$A&gt;=$B$1)*('기록'!$A:$A&lt;=$B$2))))))</f>
      </c>
      <c r="L171">
        <f>IF(I171="","",J171)</f>
      </c>
    </row>
    <row r="172" spans="1:12" x14ac:dyDescent="0.25">
      <c r="A172">
        <f>IFERROR(INDEX($N$5:$Q$204,168,1),"")</f>
      </c>
      <c r="B172">
        <f>IFERROR(INDEX($N$5:$Q$204,168,2),"")</f>
      </c>
      <c r="C172">
        <f>IFERROR(INDEX($N$5:$Q$204,168,3),"")</f>
      </c>
      <c r="D172">
        <f>IFERROR(INDEX($N$5:$Q$204,168,4),"")</f>
      </c>
      <c r="H172">
        <f>IF(I172="","",168)</f>
      </c>
      <c r="I172">
        <f>IFERROR(INDEX(_xlfn.UNIQUE(_xlfn.FILTER('기록'!$C$2:$C$181,('기록'!$C$2:$C$181&lt;&gt;"")*('기록'!$A$2:$A$181&gt;=$B$1)*('기록'!$A$2:$A$181&lt;=$B$2))),168),"")</f>
      </c>
      <c r="J172">
        <f>IF(I172="","",SUMIFS('기록'!$G:$G,'기록'!$C:$C,I172,'기록'!$A:$A,"&gt;="&amp;$B$1,'기록'!$A:$A,"&lt;="&amp;$B$2))</f>
      </c>
      <c r="K172">
        <f>IF(I172="","",COUNTA(_xlfn.UNIQUE(_xlfn.FILTER('기록'!$A:$A,(('기록'!$C:$C=I172)*('기록'!$A:$A&gt;=$B$1)*('기록'!$A:$A&lt;=$B$2))))))</f>
      </c>
      <c r="L172">
        <f>IF(I172="","",J172)</f>
      </c>
    </row>
    <row r="173" spans="1:12" x14ac:dyDescent="0.25">
      <c r="A173">
        <f>IFERROR(INDEX($N$5:$Q$204,169,1),"")</f>
      </c>
      <c r="B173">
        <f>IFERROR(INDEX($N$5:$Q$204,169,2),"")</f>
      </c>
      <c r="C173">
        <f>IFERROR(INDEX($N$5:$Q$204,169,3),"")</f>
      </c>
      <c r="D173">
        <f>IFERROR(INDEX($N$5:$Q$204,169,4),"")</f>
      </c>
      <c r="H173">
        <f>IF(I173="","",169)</f>
      </c>
      <c r="I173">
        <f>IFERROR(INDEX(_xlfn.UNIQUE(_xlfn.FILTER('기록'!$C$2:$C$181,('기록'!$C$2:$C$181&lt;&gt;"")*('기록'!$A$2:$A$181&gt;=$B$1)*('기록'!$A$2:$A$181&lt;=$B$2))),169),"")</f>
      </c>
      <c r="J173">
        <f>IF(I173="","",SUMIFS('기록'!$G:$G,'기록'!$C:$C,I173,'기록'!$A:$A,"&gt;="&amp;$B$1,'기록'!$A:$A,"&lt;="&amp;$B$2))</f>
      </c>
      <c r="K173">
        <f>IF(I173="","",COUNTA(_xlfn.UNIQUE(_xlfn.FILTER('기록'!$A:$A,(('기록'!$C:$C=I173)*('기록'!$A:$A&gt;=$B$1)*('기록'!$A:$A&lt;=$B$2))))))</f>
      </c>
      <c r="L173">
        <f>IF(I173="","",J173)</f>
      </c>
    </row>
    <row r="174" spans="1:12" x14ac:dyDescent="0.25">
      <c r="A174">
        <f>IFERROR(INDEX($N$5:$Q$204,170,1),"")</f>
      </c>
      <c r="B174">
        <f>IFERROR(INDEX($N$5:$Q$204,170,2),"")</f>
      </c>
      <c r="C174">
        <f>IFERROR(INDEX($N$5:$Q$204,170,3),"")</f>
      </c>
      <c r="D174">
        <f>IFERROR(INDEX($N$5:$Q$204,170,4),"")</f>
      </c>
      <c r="H174">
        <f>IF(I174="","",170)</f>
      </c>
      <c r="I174">
        <f>IFERROR(INDEX(_xlfn.UNIQUE(_xlfn.FILTER('기록'!$C$2:$C$181,('기록'!$C$2:$C$181&lt;&gt;"")*('기록'!$A$2:$A$181&gt;=$B$1)*('기록'!$A$2:$A$181&lt;=$B$2))),170),"")</f>
      </c>
      <c r="J174">
        <f>IF(I174="","",SUMIFS('기록'!$G:$G,'기록'!$C:$C,I174,'기록'!$A:$A,"&gt;="&amp;$B$1,'기록'!$A:$A,"&lt;="&amp;$B$2))</f>
      </c>
      <c r="K174">
        <f>IF(I174="","",COUNTA(_xlfn.UNIQUE(_xlfn.FILTER('기록'!$A:$A,(('기록'!$C:$C=I174)*('기록'!$A:$A&gt;=$B$1)*('기록'!$A:$A&lt;=$B$2))))))</f>
      </c>
      <c r="L174">
        <f>IF(I174="","",J174)</f>
      </c>
    </row>
    <row r="175" spans="1:12" x14ac:dyDescent="0.25">
      <c r="A175">
        <f>IFERROR(INDEX($N$5:$Q$204,171,1),"")</f>
      </c>
      <c r="B175">
        <f>IFERROR(INDEX($N$5:$Q$204,171,2),"")</f>
      </c>
      <c r="C175">
        <f>IFERROR(INDEX($N$5:$Q$204,171,3),"")</f>
      </c>
      <c r="D175">
        <f>IFERROR(INDEX($N$5:$Q$204,171,4),"")</f>
      </c>
      <c r="H175">
        <f>IF(I175="","",171)</f>
      </c>
      <c r="I175">
        <f>IFERROR(INDEX(_xlfn.UNIQUE(_xlfn.FILTER('기록'!$C$2:$C$181,('기록'!$C$2:$C$181&lt;&gt;"")*('기록'!$A$2:$A$181&gt;=$B$1)*('기록'!$A$2:$A$181&lt;=$B$2))),171),"")</f>
      </c>
      <c r="J175">
        <f>IF(I175="","",SUMIFS('기록'!$G:$G,'기록'!$C:$C,I175,'기록'!$A:$A,"&gt;="&amp;$B$1,'기록'!$A:$A,"&lt;="&amp;$B$2))</f>
      </c>
      <c r="K175">
        <f>IF(I175="","",COUNTA(_xlfn.UNIQUE(_xlfn.FILTER('기록'!$A:$A,(('기록'!$C:$C=I175)*('기록'!$A:$A&gt;=$B$1)*('기록'!$A:$A&lt;=$B$2))))))</f>
      </c>
      <c r="L175">
        <f>IF(I175="","",J175)</f>
      </c>
    </row>
    <row r="176" spans="1:12" x14ac:dyDescent="0.25">
      <c r="A176">
        <f>IFERROR(INDEX($N$5:$Q$204,172,1),"")</f>
      </c>
      <c r="B176">
        <f>IFERROR(INDEX($N$5:$Q$204,172,2),"")</f>
      </c>
      <c r="C176">
        <f>IFERROR(INDEX($N$5:$Q$204,172,3),"")</f>
      </c>
      <c r="D176">
        <f>IFERROR(INDEX($N$5:$Q$204,172,4),"")</f>
      </c>
      <c r="H176">
        <f>IF(I176="","",172)</f>
      </c>
      <c r="I176">
        <f>IFERROR(INDEX(_xlfn.UNIQUE(_xlfn.FILTER('기록'!$C$2:$C$181,('기록'!$C$2:$C$181&lt;&gt;"")*('기록'!$A$2:$A$181&gt;=$B$1)*('기록'!$A$2:$A$181&lt;=$B$2))),172),"")</f>
      </c>
      <c r="J176">
        <f>IF(I176="","",SUMIFS('기록'!$G:$G,'기록'!$C:$C,I176,'기록'!$A:$A,"&gt;="&amp;$B$1,'기록'!$A:$A,"&lt;="&amp;$B$2))</f>
      </c>
      <c r="K176">
        <f>IF(I176="","",COUNTA(_xlfn.UNIQUE(_xlfn.FILTER('기록'!$A:$A,(('기록'!$C:$C=I176)*('기록'!$A:$A&gt;=$B$1)*('기록'!$A:$A&lt;=$B$2))))))</f>
      </c>
      <c r="L176">
        <f>IF(I176="","",J176)</f>
      </c>
    </row>
    <row r="177" spans="1:12" x14ac:dyDescent="0.25">
      <c r="A177">
        <f>IFERROR(INDEX($N$5:$Q$204,173,1),"")</f>
      </c>
      <c r="B177">
        <f>IFERROR(INDEX($N$5:$Q$204,173,2),"")</f>
      </c>
      <c r="C177">
        <f>IFERROR(INDEX($N$5:$Q$204,173,3),"")</f>
      </c>
      <c r="D177">
        <f>IFERROR(INDEX($N$5:$Q$204,173,4),"")</f>
      </c>
      <c r="H177">
        <f>IF(I177="","",173)</f>
      </c>
      <c r="I177">
        <f>IFERROR(INDEX(_xlfn.UNIQUE(_xlfn.FILTER('기록'!$C$2:$C$181,('기록'!$C$2:$C$181&lt;&gt;"")*('기록'!$A$2:$A$181&gt;=$B$1)*('기록'!$A$2:$A$181&lt;=$B$2))),173),"")</f>
      </c>
      <c r="J177">
        <f>IF(I177="","",SUMIFS('기록'!$G:$G,'기록'!$C:$C,I177,'기록'!$A:$A,"&gt;="&amp;$B$1,'기록'!$A:$A,"&lt;="&amp;$B$2))</f>
      </c>
      <c r="K177">
        <f>IF(I177="","",COUNTA(_xlfn.UNIQUE(_xlfn.FILTER('기록'!$A:$A,(('기록'!$C:$C=I177)*('기록'!$A:$A&gt;=$B$1)*('기록'!$A:$A&lt;=$B$2))))))</f>
      </c>
      <c r="L177">
        <f>IF(I177="","",J177)</f>
      </c>
    </row>
    <row r="178" spans="1:12" x14ac:dyDescent="0.25">
      <c r="A178">
        <f>IFERROR(INDEX($N$5:$Q$204,174,1),"")</f>
      </c>
      <c r="B178">
        <f>IFERROR(INDEX($N$5:$Q$204,174,2),"")</f>
      </c>
      <c r="C178">
        <f>IFERROR(INDEX($N$5:$Q$204,174,3),"")</f>
      </c>
      <c r="D178">
        <f>IFERROR(INDEX($N$5:$Q$204,174,4),"")</f>
      </c>
      <c r="H178">
        <f>IF(I178="","",174)</f>
      </c>
      <c r="I178">
        <f>IFERROR(INDEX(_xlfn.UNIQUE(_xlfn.FILTER('기록'!$C$2:$C$181,('기록'!$C$2:$C$181&lt;&gt;"")*('기록'!$A$2:$A$181&gt;=$B$1)*('기록'!$A$2:$A$181&lt;=$B$2))),174),"")</f>
      </c>
      <c r="J178">
        <f>IF(I178="","",SUMIFS('기록'!$G:$G,'기록'!$C:$C,I178,'기록'!$A:$A,"&gt;="&amp;$B$1,'기록'!$A:$A,"&lt;="&amp;$B$2))</f>
      </c>
      <c r="K178">
        <f>IF(I178="","",COUNTA(_xlfn.UNIQUE(_xlfn.FILTER('기록'!$A:$A,(('기록'!$C:$C=I178)*('기록'!$A:$A&gt;=$B$1)*('기록'!$A:$A&lt;=$B$2))))))</f>
      </c>
      <c r="L178">
        <f>IF(I178="","",J178)</f>
      </c>
    </row>
    <row r="179" spans="1:12" x14ac:dyDescent="0.25">
      <c r="A179">
        <f>IFERROR(INDEX($N$5:$Q$204,175,1),"")</f>
      </c>
      <c r="B179">
        <f>IFERROR(INDEX($N$5:$Q$204,175,2),"")</f>
      </c>
      <c r="C179">
        <f>IFERROR(INDEX($N$5:$Q$204,175,3),"")</f>
      </c>
      <c r="D179">
        <f>IFERROR(INDEX($N$5:$Q$204,175,4),"")</f>
      </c>
      <c r="H179">
        <f>IF(I179="","",175)</f>
      </c>
      <c r="I179">
        <f>IFERROR(INDEX(_xlfn.UNIQUE(_xlfn.FILTER('기록'!$C$2:$C$181,('기록'!$C$2:$C$181&lt;&gt;"")*('기록'!$A$2:$A$181&gt;=$B$1)*('기록'!$A$2:$A$181&lt;=$B$2))),175),"")</f>
      </c>
      <c r="J179">
        <f>IF(I179="","",SUMIFS('기록'!$G:$G,'기록'!$C:$C,I179,'기록'!$A:$A,"&gt;="&amp;$B$1,'기록'!$A:$A,"&lt;="&amp;$B$2))</f>
      </c>
      <c r="K179">
        <f>IF(I179="","",COUNTA(_xlfn.UNIQUE(_xlfn.FILTER('기록'!$A:$A,(('기록'!$C:$C=I179)*('기록'!$A:$A&gt;=$B$1)*('기록'!$A:$A&lt;=$B$2))))))</f>
      </c>
      <c r="L179">
        <f>IF(I179="","",J179)</f>
      </c>
    </row>
    <row r="180" spans="1:12" x14ac:dyDescent="0.25">
      <c r="A180">
        <f>IFERROR(INDEX($N$5:$Q$204,176,1),"")</f>
      </c>
      <c r="B180">
        <f>IFERROR(INDEX($N$5:$Q$204,176,2),"")</f>
      </c>
      <c r="C180">
        <f>IFERROR(INDEX($N$5:$Q$204,176,3),"")</f>
      </c>
      <c r="D180">
        <f>IFERROR(INDEX($N$5:$Q$204,176,4),"")</f>
      </c>
      <c r="H180">
        <f>IF(I180="","",176)</f>
      </c>
      <c r="I180">
        <f>IFERROR(INDEX(_xlfn.UNIQUE(_xlfn.FILTER('기록'!$C$2:$C$181,('기록'!$C$2:$C$181&lt;&gt;"")*('기록'!$A$2:$A$181&gt;=$B$1)*('기록'!$A$2:$A$181&lt;=$B$2))),176),"")</f>
      </c>
      <c r="J180">
        <f>IF(I180="","",SUMIFS('기록'!$G:$G,'기록'!$C:$C,I180,'기록'!$A:$A,"&gt;="&amp;$B$1,'기록'!$A:$A,"&lt;="&amp;$B$2))</f>
      </c>
      <c r="K180">
        <f>IF(I180="","",COUNTA(_xlfn.UNIQUE(_xlfn.FILTER('기록'!$A:$A,(('기록'!$C:$C=I180)*('기록'!$A:$A&gt;=$B$1)*('기록'!$A:$A&lt;=$B$2))))))</f>
      </c>
      <c r="L180">
        <f>IF(I180="","",J180)</f>
      </c>
    </row>
    <row r="181" spans="1:12" x14ac:dyDescent="0.25">
      <c r="A181">
        <f>IFERROR(INDEX($N$5:$Q$204,177,1),"")</f>
      </c>
      <c r="B181">
        <f>IFERROR(INDEX($N$5:$Q$204,177,2),"")</f>
      </c>
      <c r="C181">
        <f>IFERROR(INDEX($N$5:$Q$204,177,3),"")</f>
      </c>
      <c r="D181">
        <f>IFERROR(INDEX($N$5:$Q$204,177,4),"")</f>
      </c>
      <c r="H181">
        <f>IF(I181="","",177)</f>
      </c>
      <c r="I181">
        <f>IFERROR(INDEX(_xlfn.UNIQUE(_xlfn.FILTER('기록'!$C$2:$C$181,('기록'!$C$2:$C$181&lt;&gt;"")*('기록'!$A$2:$A$181&gt;=$B$1)*('기록'!$A$2:$A$181&lt;=$B$2))),177),"")</f>
      </c>
      <c r="J181">
        <f>IF(I181="","",SUMIFS('기록'!$G:$G,'기록'!$C:$C,I181,'기록'!$A:$A,"&gt;="&amp;$B$1,'기록'!$A:$A,"&lt;="&amp;$B$2))</f>
      </c>
      <c r="K181">
        <f>IF(I181="","",COUNTA(_xlfn.UNIQUE(_xlfn.FILTER('기록'!$A:$A,(('기록'!$C:$C=I181)*('기록'!$A:$A&gt;=$B$1)*('기록'!$A:$A&lt;=$B$2))))))</f>
      </c>
      <c r="L181">
        <f>IF(I181="","",J181)</f>
      </c>
    </row>
    <row r="182" spans="1:12" x14ac:dyDescent="0.25">
      <c r="A182">
        <f>IFERROR(INDEX($N$5:$Q$204,178,1),"")</f>
      </c>
      <c r="B182">
        <f>IFERROR(INDEX($N$5:$Q$204,178,2),"")</f>
      </c>
      <c r="C182">
        <f>IFERROR(INDEX($N$5:$Q$204,178,3),"")</f>
      </c>
      <c r="D182">
        <f>IFERROR(INDEX($N$5:$Q$204,178,4),"")</f>
      </c>
      <c r="H182">
        <f>IF(I182="","",178)</f>
      </c>
      <c r="I182">
        <f>IFERROR(INDEX(_xlfn.UNIQUE(_xlfn.FILTER('기록'!$C$2:$C$181,('기록'!$C$2:$C$181&lt;&gt;"")*('기록'!$A$2:$A$181&gt;=$B$1)*('기록'!$A$2:$A$181&lt;=$B$2))),178),"")</f>
      </c>
      <c r="J182">
        <f>IF(I182="","",SUMIFS('기록'!$G:$G,'기록'!$C:$C,I182,'기록'!$A:$A,"&gt;="&amp;$B$1,'기록'!$A:$A,"&lt;="&amp;$B$2))</f>
      </c>
      <c r="K182">
        <f>IF(I182="","",COUNTA(_xlfn.UNIQUE(_xlfn.FILTER('기록'!$A:$A,(('기록'!$C:$C=I182)*('기록'!$A:$A&gt;=$B$1)*('기록'!$A:$A&lt;=$B$2))))))</f>
      </c>
      <c r="L182">
        <f>IF(I182="","",J182)</f>
      </c>
    </row>
    <row r="183" spans="1:12" x14ac:dyDescent="0.25">
      <c r="A183">
        <f>IFERROR(INDEX($N$5:$Q$204,179,1),"")</f>
      </c>
      <c r="B183">
        <f>IFERROR(INDEX($N$5:$Q$204,179,2),"")</f>
      </c>
      <c r="C183">
        <f>IFERROR(INDEX($N$5:$Q$204,179,3),"")</f>
      </c>
      <c r="D183">
        <f>IFERROR(INDEX($N$5:$Q$204,179,4),"")</f>
      </c>
      <c r="H183">
        <f>IF(I183="","",179)</f>
      </c>
      <c r="I183">
        <f>IFERROR(INDEX(_xlfn.UNIQUE(_xlfn.FILTER('기록'!$C$2:$C$181,('기록'!$C$2:$C$181&lt;&gt;"")*('기록'!$A$2:$A$181&gt;=$B$1)*('기록'!$A$2:$A$181&lt;=$B$2))),179),"")</f>
      </c>
      <c r="J183">
        <f>IF(I183="","",SUMIFS('기록'!$G:$G,'기록'!$C:$C,I183,'기록'!$A:$A,"&gt;="&amp;$B$1,'기록'!$A:$A,"&lt;="&amp;$B$2))</f>
      </c>
      <c r="K183">
        <f>IF(I183="","",COUNTA(_xlfn.UNIQUE(_xlfn.FILTER('기록'!$A:$A,(('기록'!$C:$C=I183)*('기록'!$A:$A&gt;=$B$1)*('기록'!$A:$A&lt;=$B$2))))))</f>
      </c>
      <c r="L183">
        <f>IF(I183="","",J183)</f>
      </c>
    </row>
    <row r="184" spans="1:12" x14ac:dyDescent="0.25">
      <c r="A184">
        <f>IFERROR(INDEX($N$5:$Q$204,180,1),"")</f>
      </c>
      <c r="B184">
        <f>IFERROR(INDEX($N$5:$Q$204,180,2),"")</f>
      </c>
      <c r="C184">
        <f>IFERROR(INDEX($N$5:$Q$204,180,3),"")</f>
      </c>
      <c r="D184">
        <f>IFERROR(INDEX($N$5:$Q$204,180,4),"")</f>
      </c>
      <c r="H184">
        <f>IF(I184="","",180)</f>
      </c>
      <c r="I184">
        <f>IFERROR(INDEX(_xlfn.UNIQUE(_xlfn.FILTER('기록'!$C$2:$C$181,('기록'!$C$2:$C$181&lt;&gt;"")*('기록'!$A$2:$A$181&gt;=$B$1)*('기록'!$A$2:$A$181&lt;=$B$2))),180),"")</f>
      </c>
      <c r="J184">
        <f>IF(I184="","",SUMIFS('기록'!$G:$G,'기록'!$C:$C,I184,'기록'!$A:$A,"&gt;="&amp;$B$1,'기록'!$A:$A,"&lt;="&amp;$B$2))</f>
      </c>
      <c r="K184">
        <f>IF(I184="","",COUNTA(_xlfn.UNIQUE(_xlfn.FILTER('기록'!$A:$A,(('기록'!$C:$C=I184)*('기록'!$A:$A&gt;=$B$1)*('기록'!$A:$A&lt;=$B$2))))))</f>
      </c>
      <c r="L184">
        <f>IF(I184="","",J184)</f>
      </c>
    </row>
    <row r="185" spans="1:12" x14ac:dyDescent="0.25">
      <c r="A185">
        <f>IFERROR(INDEX($N$5:$Q$204,181,1),"")</f>
      </c>
      <c r="B185">
        <f>IFERROR(INDEX($N$5:$Q$204,181,2),"")</f>
      </c>
      <c r="C185">
        <f>IFERROR(INDEX($N$5:$Q$204,181,3),"")</f>
      </c>
      <c r="D185">
        <f>IFERROR(INDEX($N$5:$Q$204,181,4),"")</f>
      </c>
      <c r="H185">
        <f>IF(I185="","",181)</f>
      </c>
      <c r="I185">
        <f>IFERROR(INDEX(_xlfn.UNIQUE(_xlfn.FILTER('기록'!$C$2:$C$181,('기록'!$C$2:$C$181&lt;&gt;"")*('기록'!$A$2:$A$181&gt;=$B$1)*('기록'!$A$2:$A$181&lt;=$B$2))),181),"")</f>
      </c>
      <c r="J185">
        <f>IF(I185="","",SUMIFS('기록'!$G:$G,'기록'!$C:$C,I185,'기록'!$A:$A,"&gt;="&amp;$B$1,'기록'!$A:$A,"&lt;="&amp;$B$2))</f>
      </c>
      <c r="K185">
        <f>IF(I185="","",COUNTA(_xlfn.UNIQUE(_xlfn.FILTER('기록'!$A:$A,(('기록'!$C:$C=I185)*('기록'!$A:$A&gt;=$B$1)*('기록'!$A:$A&lt;=$B$2))))))</f>
      </c>
      <c r="L185">
        <f>IF(I185="","",J185)</f>
      </c>
    </row>
    <row r="186" spans="1:12" x14ac:dyDescent="0.25">
      <c r="A186">
        <f>IFERROR(INDEX($N$5:$Q$204,182,1),"")</f>
      </c>
      <c r="B186">
        <f>IFERROR(INDEX($N$5:$Q$204,182,2),"")</f>
      </c>
      <c r="C186">
        <f>IFERROR(INDEX($N$5:$Q$204,182,3),"")</f>
      </c>
      <c r="D186">
        <f>IFERROR(INDEX($N$5:$Q$204,182,4),"")</f>
      </c>
      <c r="H186">
        <f>IF(I186="","",182)</f>
      </c>
      <c r="I186">
        <f>IFERROR(INDEX(_xlfn.UNIQUE(_xlfn.FILTER('기록'!$C$2:$C$181,('기록'!$C$2:$C$181&lt;&gt;"")*('기록'!$A$2:$A$181&gt;=$B$1)*('기록'!$A$2:$A$181&lt;=$B$2))),182),"")</f>
      </c>
      <c r="J186">
        <f>IF(I186="","",SUMIFS('기록'!$G:$G,'기록'!$C:$C,I186,'기록'!$A:$A,"&gt;="&amp;$B$1,'기록'!$A:$A,"&lt;="&amp;$B$2))</f>
      </c>
      <c r="K186">
        <f>IF(I186="","",COUNTA(_xlfn.UNIQUE(_xlfn.FILTER('기록'!$A:$A,(('기록'!$C:$C=I186)*('기록'!$A:$A&gt;=$B$1)*('기록'!$A:$A&lt;=$B$2))))))</f>
      </c>
      <c r="L186">
        <f>IF(I186="","",J186)</f>
      </c>
    </row>
    <row r="187" spans="1:12" x14ac:dyDescent="0.25">
      <c r="A187">
        <f>IFERROR(INDEX($N$5:$Q$204,183,1),"")</f>
      </c>
      <c r="B187">
        <f>IFERROR(INDEX($N$5:$Q$204,183,2),"")</f>
      </c>
      <c r="C187">
        <f>IFERROR(INDEX($N$5:$Q$204,183,3),"")</f>
      </c>
      <c r="D187">
        <f>IFERROR(INDEX($N$5:$Q$204,183,4),"")</f>
      </c>
      <c r="H187">
        <f>IF(I187="","",183)</f>
      </c>
      <c r="I187">
        <f>IFERROR(INDEX(_xlfn.UNIQUE(_xlfn.FILTER('기록'!$C$2:$C$181,('기록'!$C$2:$C$181&lt;&gt;"")*('기록'!$A$2:$A$181&gt;=$B$1)*('기록'!$A$2:$A$181&lt;=$B$2))),183),"")</f>
      </c>
      <c r="J187">
        <f>IF(I187="","",SUMIFS('기록'!$G:$G,'기록'!$C:$C,I187,'기록'!$A:$A,"&gt;="&amp;$B$1,'기록'!$A:$A,"&lt;="&amp;$B$2))</f>
      </c>
      <c r="K187">
        <f>IF(I187="","",COUNTA(_xlfn.UNIQUE(_xlfn.FILTER('기록'!$A:$A,(('기록'!$C:$C=I187)*('기록'!$A:$A&gt;=$B$1)*('기록'!$A:$A&lt;=$B$2))))))</f>
      </c>
      <c r="L187">
        <f>IF(I187="","",J187)</f>
      </c>
    </row>
    <row r="188" spans="1:12" x14ac:dyDescent="0.25">
      <c r="A188">
        <f>IFERROR(INDEX($N$5:$Q$204,184,1),"")</f>
      </c>
      <c r="B188">
        <f>IFERROR(INDEX($N$5:$Q$204,184,2),"")</f>
      </c>
      <c r="C188">
        <f>IFERROR(INDEX($N$5:$Q$204,184,3),"")</f>
      </c>
      <c r="D188">
        <f>IFERROR(INDEX($N$5:$Q$204,184,4),"")</f>
      </c>
      <c r="H188">
        <f>IF(I188="","",184)</f>
      </c>
      <c r="I188">
        <f>IFERROR(INDEX(_xlfn.UNIQUE(_xlfn.FILTER('기록'!$C$2:$C$181,('기록'!$C$2:$C$181&lt;&gt;"")*('기록'!$A$2:$A$181&gt;=$B$1)*('기록'!$A$2:$A$181&lt;=$B$2))),184),"")</f>
      </c>
      <c r="J188">
        <f>IF(I188="","",SUMIFS('기록'!$G:$G,'기록'!$C:$C,I188,'기록'!$A:$A,"&gt;="&amp;$B$1,'기록'!$A:$A,"&lt;="&amp;$B$2))</f>
      </c>
      <c r="K188">
        <f>IF(I188="","",COUNTA(_xlfn.UNIQUE(_xlfn.FILTER('기록'!$A:$A,(('기록'!$C:$C=I188)*('기록'!$A:$A&gt;=$B$1)*('기록'!$A:$A&lt;=$B$2))))))</f>
      </c>
      <c r="L188">
        <f>IF(I188="","",J188)</f>
      </c>
    </row>
    <row r="189" spans="1:12" x14ac:dyDescent="0.25">
      <c r="A189">
        <f>IFERROR(INDEX($N$5:$Q$204,185,1),"")</f>
      </c>
      <c r="B189">
        <f>IFERROR(INDEX($N$5:$Q$204,185,2),"")</f>
      </c>
      <c r="C189">
        <f>IFERROR(INDEX($N$5:$Q$204,185,3),"")</f>
      </c>
      <c r="D189">
        <f>IFERROR(INDEX($N$5:$Q$204,185,4),"")</f>
      </c>
      <c r="H189">
        <f>IF(I189="","",185)</f>
      </c>
      <c r="I189">
        <f>IFERROR(INDEX(_xlfn.UNIQUE(_xlfn.FILTER('기록'!$C$2:$C$181,('기록'!$C$2:$C$181&lt;&gt;"")*('기록'!$A$2:$A$181&gt;=$B$1)*('기록'!$A$2:$A$181&lt;=$B$2))),185),"")</f>
      </c>
      <c r="J189">
        <f>IF(I189="","",SUMIFS('기록'!$G:$G,'기록'!$C:$C,I189,'기록'!$A:$A,"&gt;="&amp;$B$1,'기록'!$A:$A,"&lt;="&amp;$B$2))</f>
      </c>
      <c r="K189">
        <f>IF(I189="","",COUNTA(_xlfn.UNIQUE(_xlfn.FILTER('기록'!$A:$A,(('기록'!$C:$C=I189)*('기록'!$A:$A&gt;=$B$1)*('기록'!$A:$A&lt;=$B$2))))))</f>
      </c>
      <c r="L189">
        <f>IF(I189="","",J189)</f>
      </c>
    </row>
    <row r="190" spans="1:12" x14ac:dyDescent="0.25">
      <c r="A190">
        <f>IFERROR(INDEX($N$5:$Q$204,186,1),"")</f>
      </c>
      <c r="B190">
        <f>IFERROR(INDEX($N$5:$Q$204,186,2),"")</f>
      </c>
      <c r="C190">
        <f>IFERROR(INDEX($N$5:$Q$204,186,3),"")</f>
      </c>
      <c r="D190">
        <f>IFERROR(INDEX($N$5:$Q$204,186,4),"")</f>
      </c>
      <c r="H190">
        <f>IF(I190="","",186)</f>
      </c>
      <c r="I190">
        <f>IFERROR(INDEX(_xlfn.UNIQUE(_xlfn.FILTER('기록'!$C$2:$C$181,('기록'!$C$2:$C$181&lt;&gt;"")*('기록'!$A$2:$A$181&gt;=$B$1)*('기록'!$A$2:$A$181&lt;=$B$2))),186),"")</f>
      </c>
      <c r="J190">
        <f>IF(I190="","",SUMIFS('기록'!$G:$G,'기록'!$C:$C,I190,'기록'!$A:$A,"&gt;="&amp;$B$1,'기록'!$A:$A,"&lt;="&amp;$B$2))</f>
      </c>
      <c r="K190">
        <f>IF(I190="","",COUNTA(_xlfn.UNIQUE(_xlfn.FILTER('기록'!$A:$A,(('기록'!$C:$C=I190)*('기록'!$A:$A&gt;=$B$1)*('기록'!$A:$A&lt;=$B$2))))))</f>
      </c>
      <c r="L190">
        <f>IF(I190="","",J190)</f>
      </c>
    </row>
    <row r="191" spans="1:12" x14ac:dyDescent="0.25">
      <c r="A191">
        <f>IFERROR(INDEX($N$5:$Q$204,187,1),"")</f>
      </c>
      <c r="B191">
        <f>IFERROR(INDEX($N$5:$Q$204,187,2),"")</f>
      </c>
      <c r="C191">
        <f>IFERROR(INDEX($N$5:$Q$204,187,3),"")</f>
      </c>
      <c r="D191">
        <f>IFERROR(INDEX($N$5:$Q$204,187,4),"")</f>
      </c>
      <c r="H191">
        <f>IF(I191="","",187)</f>
      </c>
      <c r="I191">
        <f>IFERROR(INDEX(_xlfn.UNIQUE(_xlfn.FILTER('기록'!$C$2:$C$181,('기록'!$C$2:$C$181&lt;&gt;"")*('기록'!$A$2:$A$181&gt;=$B$1)*('기록'!$A$2:$A$181&lt;=$B$2))),187),"")</f>
      </c>
      <c r="J191">
        <f>IF(I191="","",SUMIFS('기록'!$G:$G,'기록'!$C:$C,I191,'기록'!$A:$A,"&gt;="&amp;$B$1,'기록'!$A:$A,"&lt;="&amp;$B$2))</f>
      </c>
      <c r="K191">
        <f>IF(I191="","",COUNTA(_xlfn.UNIQUE(_xlfn.FILTER('기록'!$A:$A,(('기록'!$C:$C=I191)*('기록'!$A:$A&gt;=$B$1)*('기록'!$A:$A&lt;=$B$2))))))</f>
      </c>
      <c r="L191">
        <f>IF(I191="","",J191)</f>
      </c>
    </row>
    <row r="192" spans="1:12" x14ac:dyDescent="0.25">
      <c r="A192">
        <f>IFERROR(INDEX($N$5:$Q$204,188,1),"")</f>
      </c>
      <c r="B192">
        <f>IFERROR(INDEX($N$5:$Q$204,188,2),"")</f>
      </c>
      <c r="C192">
        <f>IFERROR(INDEX($N$5:$Q$204,188,3),"")</f>
      </c>
      <c r="D192">
        <f>IFERROR(INDEX($N$5:$Q$204,188,4),"")</f>
      </c>
      <c r="H192">
        <f>IF(I192="","",188)</f>
      </c>
      <c r="I192">
        <f>IFERROR(INDEX(_xlfn.UNIQUE(_xlfn.FILTER('기록'!$C$2:$C$181,('기록'!$C$2:$C$181&lt;&gt;"")*('기록'!$A$2:$A$181&gt;=$B$1)*('기록'!$A$2:$A$181&lt;=$B$2))),188),"")</f>
      </c>
      <c r="J192">
        <f>IF(I192="","",SUMIFS('기록'!$G:$G,'기록'!$C:$C,I192,'기록'!$A:$A,"&gt;="&amp;$B$1,'기록'!$A:$A,"&lt;="&amp;$B$2))</f>
      </c>
      <c r="K192">
        <f>IF(I192="","",COUNTA(_xlfn.UNIQUE(_xlfn.FILTER('기록'!$A:$A,(('기록'!$C:$C=I192)*('기록'!$A:$A&gt;=$B$1)*('기록'!$A:$A&lt;=$B$2))))))</f>
      </c>
      <c r="L192">
        <f>IF(I192="","",J192)</f>
      </c>
    </row>
    <row r="193" spans="1:12" x14ac:dyDescent="0.25">
      <c r="A193">
        <f>IFERROR(INDEX($N$5:$Q$204,189,1),"")</f>
      </c>
      <c r="B193">
        <f>IFERROR(INDEX($N$5:$Q$204,189,2),"")</f>
      </c>
      <c r="C193">
        <f>IFERROR(INDEX($N$5:$Q$204,189,3),"")</f>
      </c>
      <c r="D193">
        <f>IFERROR(INDEX($N$5:$Q$204,189,4),"")</f>
      </c>
      <c r="H193">
        <f>IF(I193="","",189)</f>
      </c>
      <c r="I193">
        <f>IFERROR(INDEX(_xlfn.UNIQUE(_xlfn.FILTER('기록'!$C$2:$C$181,('기록'!$C$2:$C$181&lt;&gt;"")*('기록'!$A$2:$A$181&gt;=$B$1)*('기록'!$A$2:$A$181&lt;=$B$2))),189),"")</f>
      </c>
      <c r="J193">
        <f>IF(I193="","",SUMIFS('기록'!$G:$G,'기록'!$C:$C,I193,'기록'!$A:$A,"&gt;="&amp;$B$1,'기록'!$A:$A,"&lt;="&amp;$B$2))</f>
      </c>
      <c r="K193">
        <f>IF(I193="","",COUNTA(_xlfn.UNIQUE(_xlfn.FILTER('기록'!$A:$A,(('기록'!$C:$C=I193)*('기록'!$A:$A&gt;=$B$1)*('기록'!$A:$A&lt;=$B$2))))))</f>
      </c>
      <c r="L193">
        <f>IF(I193="","",J193)</f>
      </c>
    </row>
    <row r="194" spans="1:12" x14ac:dyDescent="0.25">
      <c r="A194">
        <f>IFERROR(INDEX($N$5:$Q$204,190,1),"")</f>
      </c>
      <c r="B194">
        <f>IFERROR(INDEX($N$5:$Q$204,190,2),"")</f>
      </c>
      <c r="C194">
        <f>IFERROR(INDEX($N$5:$Q$204,190,3),"")</f>
      </c>
      <c r="D194">
        <f>IFERROR(INDEX($N$5:$Q$204,190,4),"")</f>
      </c>
      <c r="H194">
        <f>IF(I194="","",190)</f>
      </c>
      <c r="I194">
        <f>IFERROR(INDEX(_xlfn.UNIQUE(_xlfn.FILTER('기록'!$C$2:$C$181,('기록'!$C$2:$C$181&lt;&gt;"")*('기록'!$A$2:$A$181&gt;=$B$1)*('기록'!$A$2:$A$181&lt;=$B$2))),190),"")</f>
      </c>
      <c r="J194">
        <f>IF(I194="","",SUMIFS('기록'!$G:$G,'기록'!$C:$C,I194,'기록'!$A:$A,"&gt;="&amp;$B$1,'기록'!$A:$A,"&lt;="&amp;$B$2))</f>
      </c>
      <c r="K194">
        <f>IF(I194="","",COUNTA(_xlfn.UNIQUE(_xlfn.FILTER('기록'!$A:$A,(('기록'!$C:$C=I194)*('기록'!$A:$A&gt;=$B$1)*('기록'!$A:$A&lt;=$B$2))))))</f>
      </c>
      <c r="L194">
        <f>IF(I194="","",J194)</f>
      </c>
    </row>
    <row r="195" spans="1:12" x14ac:dyDescent="0.25">
      <c r="A195">
        <f>IFERROR(INDEX($N$5:$Q$204,191,1),"")</f>
      </c>
      <c r="B195">
        <f>IFERROR(INDEX($N$5:$Q$204,191,2),"")</f>
      </c>
      <c r="C195">
        <f>IFERROR(INDEX($N$5:$Q$204,191,3),"")</f>
      </c>
      <c r="D195">
        <f>IFERROR(INDEX($N$5:$Q$204,191,4),"")</f>
      </c>
      <c r="H195">
        <f>IF(I195="","",191)</f>
      </c>
      <c r="I195">
        <f>IFERROR(INDEX(_xlfn.UNIQUE(_xlfn.FILTER('기록'!$C$2:$C$181,('기록'!$C$2:$C$181&lt;&gt;"")*('기록'!$A$2:$A$181&gt;=$B$1)*('기록'!$A$2:$A$181&lt;=$B$2))),191),"")</f>
      </c>
      <c r="J195">
        <f>IF(I195="","",SUMIFS('기록'!$G:$G,'기록'!$C:$C,I195,'기록'!$A:$A,"&gt;="&amp;$B$1,'기록'!$A:$A,"&lt;="&amp;$B$2))</f>
      </c>
      <c r="K195">
        <f>IF(I195="","",COUNTA(_xlfn.UNIQUE(_xlfn.FILTER('기록'!$A:$A,(('기록'!$C:$C=I195)*('기록'!$A:$A&gt;=$B$1)*('기록'!$A:$A&lt;=$B$2))))))</f>
      </c>
      <c r="L195">
        <f>IF(I195="","",J195)</f>
      </c>
    </row>
    <row r="196" spans="1:12" x14ac:dyDescent="0.25">
      <c r="A196">
        <f>IFERROR(INDEX($N$5:$Q$204,192,1),"")</f>
      </c>
      <c r="B196">
        <f>IFERROR(INDEX($N$5:$Q$204,192,2),"")</f>
      </c>
      <c r="C196">
        <f>IFERROR(INDEX($N$5:$Q$204,192,3),"")</f>
      </c>
      <c r="D196">
        <f>IFERROR(INDEX($N$5:$Q$204,192,4),"")</f>
      </c>
      <c r="H196">
        <f>IF(I196="","",192)</f>
      </c>
      <c r="I196">
        <f>IFERROR(INDEX(_xlfn.UNIQUE(_xlfn.FILTER('기록'!$C$2:$C$181,('기록'!$C$2:$C$181&lt;&gt;"")*('기록'!$A$2:$A$181&gt;=$B$1)*('기록'!$A$2:$A$181&lt;=$B$2))),192),"")</f>
      </c>
      <c r="J196">
        <f>IF(I196="","",SUMIFS('기록'!$G:$G,'기록'!$C:$C,I196,'기록'!$A:$A,"&gt;="&amp;$B$1,'기록'!$A:$A,"&lt;="&amp;$B$2))</f>
      </c>
      <c r="K196">
        <f>IF(I196="","",COUNTA(_xlfn.UNIQUE(_xlfn.FILTER('기록'!$A:$A,(('기록'!$C:$C=I196)*('기록'!$A:$A&gt;=$B$1)*('기록'!$A:$A&lt;=$B$2))))))</f>
      </c>
      <c r="L196">
        <f>IF(I196="","",J196)</f>
      </c>
    </row>
    <row r="197" spans="1:12" x14ac:dyDescent="0.25">
      <c r="A197">
        <f>IFERROR(INDEX($N$5:$Q$204,193,1),"")</f>
      </c>
      <c r="B197">
        <f>IFERROR(INDEX($N$5:$Q$204,193,2),"")</f>
      </c>
      <c r="C197">
        <f>IFERROR(INDEX($N$5:$Q$204,193,3),"")</f>
      </c>
      <c r="D197">
        <f>IFERROR(INDEX($N$5:$Q$204,193,4),"")</f>
      </c>
      <c r="H197">
        <f>IF(I197="","",193)</f>
      </c>
      <c r="I197">
        <f>IFERROR(INDEX(_xlfn.UNIQUE(_xlfn.FILTER('기록'!$C$2:$C$181,('기록'!$C$2:$C$181&lt;&gt;"")*('기록'!$A$2:$A$181&gt;=$B$1)*('기록'!$A$2:$A$181&lt;=$B$2))),193),"")</f>
      </c>
      <c r="J197">
        <f>IF(I197="","",SUMIFS('기록'!$G:$G,'기록'!$C:$C,I197,'기록'!$A:$A,"&gt;="&amp;$B$1,'기록'!$A:$A,"&lt;="&amp;$B$2))</f>
      </c>
      <c r="K197">
        <f>IF(I197="","",COUNTA(_xlfn.UNIQUE(_xlfn.FILTER('기록'!$A:$A,(('기록'!$C:$C=I197)*('기록'!$A:$A&gt;=$B$1)*('기록'!$A:$A&lt;=$B$2))))))</f>
      </c>
      <c r="L197">
        <f>IF(I197="","",J197)</f>
      </c>
    </row>
    <row r="198" spans="1:12" x14ac:dyDescent="0.25">
      <c r="A198">
        <f>IFERROR(INDEX($N$5:$Q$204,194,1),"")</f>
      </c>
      <c r="B198">
        <f>IFERROR(INDEX($N$5:$Q$204,194,2),"")</f>
      </c>
      <c r="C198">
        <f>IFERROR(INDEX($N$5:$Q$204,194,3),"")</f>
      </c>
      <c r="D198">
        <f>IFERROR(INDEX($N$5:$Q$204,194,4),"")</f>
      </c>
      <c r="H198">
        <f>IF(I198="","",194)</f>
      </c>
      <c r="I198">
        <f>IFERROR(INDEX(_xlfn.UNIQUE(_xlfn.FILTER('기록'!$C$2:$C$181,('기록'!$C$2:$C$181&lt;&gt;"")*('기록'!$A$2:$A$181&gt;=$B$1)*('기록'!$A$2:$A$181&lt;=$B$2))),194),"")</f>
      </c>
      <c r="J198">
        <f>IF(I198="","",SUMIFS('기록'!$G:$G,'기록'!$C:$C,I198,'기록'!$A:$A,"&gt;="&amp;$B$1,'기록'!$A:$A,"&lt;="&amp;$B$2))</f>
      </c>
      <c r="K198">
        <f>IF(I198="","",COUNTA(_xlfn.UNIQUE(_xlfn.FILTER('기록'!$A:$A,(('기록'!$C:$C=I198)*('기록'!$A:$A&gt;=$B$1)*('기록'!$A:$A&lt;=$B$2))))))</f>
      </c>
      <c r="L198">
        <f>IF(I198="","",J198)</f>
      </c>
    </row>
    <row r="199" spans="1:12" x14ac:dyDescent="0.25">
      <c r="A199">
        <f>IFERROR(INDEX($N$5:$Q$204,195,1),"")</f>
      </c>
      <c r="B199">
        <f>IFERROR(INDEX($N$5:$Q$204,195,2),"")</f>
      </c>
      <c r="C199">
        <f>IFERROR(INDEX($N$5:$Q$204,195,3),"")</f>
      </c>
      <c r="D199">
        <f>IFERROR(INDEX($N$5:$Q$204,195,4),"")</f>
      </c>
      <c r="H199">
        <f>IF(I199="","",195)</f>
      </c>
      <c r="I199">
        <f>IFERROR(INDEX(_xlfn.UNIQUE(_xlfn.FILTER('기록'!$C$2:$C$181,('기록'!$C$2:$C$181&lt;&gt;"")*('기록'!$A$2:$A$181&gt;=$B$1)*('기록'!$A$2:$A$181&lt;=$B$2))),195),"")</f>
      </c>
      <c r="J199">
        <f>IF(I199="","",SUMIFS('기록'!$G:$G,'기록'!$C:$C,I199,'기록'!$A:$A,"&gt;="&amp;$B$1,'기록'!$A:$A,"&lt;="&amp;$B$2))</f>
      </c>
      <c r="K199">
        <f>IF(I199="","",COUNTA(_xlfn.UNIQUE(_xlfn.FILTER('기록'!$A:$A,(('기록'!$C:$C=I199)*('기록'!$A:$A&gt;=$B$1)*('기록'!$A:$A&lt;=$B$2))))))</f>
      </c>
      <c r="L199">
        <f>IF(I199="","",J199)</f>
      </c>
    </row>
    <row r="200" spans="1:12" x14ac:dyDescent="0.25">
      <c r="A200">
        <f>IFERROR(INDEX($N$5:$Q$204,196,1),"")</f>
      </c>
      <c r="B200">
        <f>IFERROR(INDEX($N$5:$Q$204,196,2),"")</f>
      </c>
      <c r="C200">
        <f>IFERROR(INDEX($N$5:$Q$204,196,3),"")</f>
      </c>
      <c r="D200">
        <f>IFERROR(INDEX($N$5:$Q$204,196,4),"")</f>
      </c>
      <c r="H200">
        <f>IF(I200="","",196)</f>
      </c>
      <c r="I200">
        <f>IFERROR(INDEX(_xlfn.UNIQUE(_xlfn.FILTER('기록'!$C$2:$C$181,('기록'!$C$2:$C$181&lt;&gt;"")*('기록'!$A$2:$A$181&gt;=$B$1)*('기록'!$A$2:$A$181&lt;=$B$2))),196),"")</f>
      </c>
      <c r="J200">
        <f>IF(I200="","",SUMIFS('기록'!$G:$G,'기록'!$C:$C,I200,'기록'!$A:$A,"&gt;="&amp;$B$1,'기록'!$A:$A,"&lt;="&amp;$B$2))</f>
      </c>
      <c r="K200">
        <f>IF(I200="","",COUNTA(_xlfn.UNIQUE(_xlfn.FILTER('기록'!$A:$A,(('기록'!$C:$C=I200)*('기록'!$A:$A&gt;=$B$1)*('기록'!$A:$A&lt;=$B$2))))))</f>
      </c>
      <c r="L200">
        <f>IF(I200="","",J200)</f>
      </c>
    </row>
    <row r="201" spans="1:12" x14ac:dyDescent="0.25">
      <c r="A201">
        <f>IFERROR(INDEX($N$5:$Q$204,197,1),"")</f>
      </c>
      <c r="B201">
        <f>IFERROR(INDEX($N$5:$Q$204,197,2),"")</f>
      </c>
      <c r="C201">
        <f>IFERROR(INDEX($N$5:$Q$204,197,3),"")</f>
      </c>
      <c r="D201">
        <f>IFERROR(INDEX($N$5:$Q$204,197,4),"")</f>
      </c>
      <c r="H201">
        <f>IF(I201="","",197)</f>
      </c>
      <c r="I201">
        <f>IFERROR(INDEX(_xlfn.UNIQUE(_xlfn.FILTER('기록'!$C$2:$C$181,('기록'!$C$2:$C$181&lt;&gt;"")*('기록'!$A$2:$A$181&gt;=$B$1)*('기록'!$A$2:$A$181&lt;=$B$2))),197),"")</f>
      </c>
      <c r="J201">
        <f>IF(I201="","",SUMIFS('기록'!$G:$G,'기록'!$C:$C,I201,'기록'!$A:$A,"&gt;="&amp;$B$1,'기록'!$A:$A,"&lt;="&amp;$B$2))</f>
      </c>
      <c r="K201">
        <f>IF(I201="","",COUNTA(_xlfn.UNIQUE(_xlfn.FILTER('기록'!$A:$A,(('기록'!$C:$C=I201)*('기록'!$A:$A&gt;=$B$1)*('기록'!$A:$A&lt;=$B$2))))))</f>
      </c>
      <c r="L201">
        <f>IF(I201="","",J201)</f>
      </c>
    </row>
    <row r="202" spans="1:12" x14ac:dyDescent="0.25">
      <c r="A202">
        <f>IFERROR(INDEX($N$5:$Q$204,198,1),"")</f>
      </c>
      <c r="B202">
        <f>IFERROR(INDEX($N$5:$Q$204,198,2),"")</f>
      </c>
      <c r="C202">
        <f>IFERROR(INDEX($N$5:$Q$204,198,3),"")</f>
      </c>
      <c r="D202">
        <f>IFERROR(INDEX($N$5:$Q$204,198,4),"")</f>
      </c>
      <c r="H202">
        <f>IF(I202="","",198)</f>
      </c>
      <c r="I202">
        <f>IFERROR(INDEX(_xlfn.UNIQUE(_xlfn.FILTER('기록'!$C$2:$C$181,('기록'!$C$2:$C$181&lt;&gt;"")*('기록'!$A$2:$A$181&gt;=$B$1)*('기록'!$A$2:$A$181&lt;=$B$2))),198),"")</f>
      </c>
      <c r="J202">
        <f>IF(I202="","",SUMIFS('기록'!$G:$G,'기록'!$C:$C,I202,'기록'!$A:$A,"&gt;="&amp;$B$1,'기록'!$A:$A,"&lt;="&amp;$B$2))</f>
      </c>
      <c r="K202">
        <f>IF(I202="","",COUNTA(_xlfn.UNIQUE(_xlfn.FILTER('기록'!$A:$A,(('기록'!$C:$C=I202)*('기록'!$A:$A&gt;=$B$1)*('기록'!$A:$A&lt;=$B$2))))))</f>
      </c>
      <c r="L202">
        <f>IF(I202="","",J202)</f>
      </c>
    </row>
    <row r="203" spans="1:12" x14ac:dyDescent="0.25">
      <c r="A203">
        <f>IFERROR(INDEX($N$5:$Q$204,199,1),"")</f>
      </c>
      <c r="B203">
        <f>IFERROR(INDEX($N$5:$Q$204,199,2),"")</f>
      </c>
      <c r="C203">
        <f>IFERROR(INDEX($N$5:$Q$204,199,3),"")</f>
      </c>
      <c r="D203">
        <f>IFERROR(INDEX($N$5:$Q$204,199,4),"")</f>
      </c>
      <c r="H203">
        <f>IF(I203="","",199)</f>
      </c>
      <c r="I203">
        <f>IFERROR(INDEX(_xlfn.UNIQUE(_xlfn.FILTER('기록'!$C$2:$C$181,('기록'!$C$2:$C$181&lt;&gt;"")*('기록'!$A$2:$A$181&gt;=$B$1)*('기록'!$A$2:$A$181&lt;=$B$2))),199),"")</f>
      </c>
      <c r="J203">
        <f>IF(I203="","",SUMIFS('기록'!$G:$G,'기록'!$C:$C,I203,'기록'!$A:$A,"&gt;="&amp;$B$1,'기록'!$A:$A,"&lt;="&amp;$B$2))</f>
      </c>
      <c r="K203">
        <f>IF(I203="","",COUNTA(_xlfn.UNIQUE(_xlfn.FILTER('기록'!$A:$A,(('기록'!$C:$C=I203)*('기록'!$A:$A&gt;=$B$1)*('기록'!$A:$A&lt;=$B$2))))))</f>
      </c>
      <c r="L203">
        <f>IF(I203="","",J203)</f>
      </c>
    </row>
    <row r="204" spans="1:12" x14ac:dyDescent="0.25">
      <c r="A204">
        <f>IFERROR(INDEX($N$5:$Q$204,200,1),"")</f>
      </c>
      <c r="B204">
        <f>IFERROR(INDEX($N$5:$Q$204,200,2),"")</f>
      </c>
      <c r="C204">
        <f>IFERROR(INDEX($N$5:$Q$204,200,3),"")</f>
      </c>
      <c r="D204">
        <f>IFERROR(INDEX($N$5:$Q$204,200,4),"")</f>
      </c>
      <c r="H204">
        <f>IF(I204="","",200)</f>
      </c>
      <c r="I204">
        <f>IFERROR(INDEX(_xlfn.UNIQUE(_xlfn.FILTER('기록'!$C$2:$C$181,('기록'!$C$2:$C$181&lt;&gt;"")*('기록'!$A$2:$A$181&gt;=$B$1)*('기록'!$A$2:$A$181&lt;=$B$2))),200),"")</f>
      </c>
      <c r="J204">
        <f>IF(I204="","",SUMIFS('기록'!$G:$G,'기록'!$C:$C,I204,'기록'!$A:$A,"&gt;="&amp;$B$1,'기록'!$A:$A,"&lt;="&amp;$B$2))</f>
      </c>
      <c r="K204">
        <f>IF(I204="","",COUNTA(_xlfn.UNIQUE(_xlfn.FILTER('기록'!$A:$A,(('기록'!$C:$C=I204)*('기록'!$A:$A&gt;=$B$1)*('기록'!$A:$A&lt;=$B$2))))))</f>
      </c>
      <c r="L204">
        <f>IF(I204="","",J204)</f>
      </c>
    </row>
  </sheetData>
  <mergeCells count="1"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8" customWidth="1"/>
    <col min="4" max="4" width="40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</cols>
  <sheetData>
    <row r="1" spans="1:2" x14ac:dyDescent="0.25">
      <c r="A1" s="1" t="s">
        <v>18</v>
      </c>
      <c r="B1" s="2">
        <f>'승점순위'!B1</f>
      </c>
    </row>
    <row r="2" spans="1:2" x14ac:dyDescent="0.25">
      <c r="A2" s="1" t="s">
        <v>19</v>
      </c>
      <c r="B2" s="2">
        <f>'승점순위'!B2</f>
      </c>
    </row>
    <row r="3" spans="1:4" x14ac:dyDescent="0.25">
      <c r="A3" s="3" t="s">
        <v>24</v>
      </c>
      <c r="B3" s="3"/>
      <c r="C3" s="3"/>
      <c r="D3" s="3"/>
    </row>
    <row r="4" spans="1:4" x14ac:dyDescent="0.25">
      <c r="A4" s="5" t="s">
        <v>6</v>
      </c>
      <c r="B4" s="5" t="s">
        <v>25</v>
      </c>
      <c r="C4" s="5" t="s">
        <v>16</v>
      </c>
      <c r="D4" s="5" t="s">
        <v>26</v>
      </c>
    </row>
    <row r="5" spans="1:14" x14ac:dyDescent="0.25">
      <c r="A5">
        <f>IFERROR(INDEX($N$5:$Q$204,1,1),"")</f>
      </c>
      <c r="B5">
        <f>IFERROR(INDEX($N$5:$Q$204,1,2),"")</f>
      </c>
      <c r="C5">
        <f>IFERROR(INDEX($N$5:$Q$204,1,3),"")</f>
      </c>
      <c r="D5">
        <f>IFERROR(INDEX($N$5:$Q$204,1,4),"")</f>
      </c>
      <c r="H5">
        <f>IFERROR(INDEX(_xlfn.UNIQUE(_xlfn.FILTER('기록'!$C$2:$C$181,('기록'!$C$2:$C$181&lt;&gt;"")*('기록'!$A$2:$A$181&gt;=$B$1)*('기록'!$A$2:$A$181&lt;=$B$2))),1),"")</f>
      </c>
      <c r="I5">
        <f>IF(H5="","",COUNTA(_xlfn.UNIQUE(_xlfn.FILTER('기록'!$A:$A,(('기록'!$C:$C=H5)*('기록'!$A:$A&gt;=$B$1)*('기록'!$A:$A&lt;=$B$2))))))</f>
      </c>
      <c r="J5">
        <f>IF(H5="","",COUNTIFS('기록'!$C:$C,H5,'기록'!$A:$A,"&gt;="&amp;$B$1,'기록'!$A:$A,"&lt;="&amp;$B$2))</f>
      </c>
      <c r="K5">
        <f>IF(H5="","",_xlfn.TEXTJOIN(", ",TRUE,_xlfn.UNIQUE(_xlfn.FILTER('기록'!$A:$A,(('기록'!$C:$C=H5)*('기록'!$A:$A&gt;=$B$1)*('기록'!$A:$A&lt;=$B$2))))))</f>
      </c>
      <c r="L5">
        <f>IF(H5="","",I5)</f>
      </c>
      <c r="N5">
        <f>_xlfn.SORTBY(H5:L204,I5:I204,-1)</f>
      </c>
    </row>
    <row r="6" spans="1:12" x14ac:dyDescent="0.25">
      <c r="A6">
        <f>IFERROR(INDEX($N$5:$Q$204,2,1),"")</f>
      </c>
      <c r="B6">
        <f>IFERROR(INDEX($N$5:$Q$204,2,2),"")</f>
      </c>
      <c r="C6">
        <f>IFERROR(INDEX($N$5:$Q$204,2,3),"")</f>
      </c>
      <c r="D6">
        <f>IFERROR(INDEX($N$5:$Q$204,2,4),"")</f>
      </c>
      <c r="H6">
        <f>IFERROR(INDEX(_xlfn.UNIQUE(_xlfn.FILTER('기록'!$C$2:$C$181,('기록'!$C$2:$C$181&lt;&gt;"")*('기록'!$A$2:$A$181&gt;=$B$1)*('기록'!$A$2:$A$181&lt;=$B$2))),2),"")</f>
      </c>
      <c r="I6">
        <f>IF(H6="","",COUNTA(_xlfn.UNIQUE(_xlfn.FILTER('기록'!$A:$A,(('기록'!$C:$C=H6)*('기록'!$A:$A&gt;=$B$1)*('기록'!$A:$A&lt;=$B$2))))))</f>
      </c>
      <c r="J6">
        <f>IF(H6="","",COUNTIFS('기록'!$C:$C,H6,'기록'!$A:$A,"&gt;="&amp;$B$1,'기록'!$A:$A,"&lt;="&amp;$B$2))</f>
      </c>
      <c r="K6">
        <f>IF(H6="","",_xlfn.TEXTJOIN(", ",TRUE,_xlfn.UNIQUE(_xlfn.FILTER('기록'!$A:$A,(('기록'!$C:$C=H6)*('기록'!$A:$A&gt;=$B$1)*('기록'!$A:$A&lt;=$B$2))))))</f>
      </c>
      <c r="L6">
        <f>IF(H6="","",I6)</f>
      </c>
    </row>
    <row r="7" spans="1:12" x14ac:dyDescent="0.25">
      <c r="A7">
        <f>IFERROR(INDEX($N$5:$Q$204,3,1),"")</f>
      </c>
      <c r="B7">
        <f>IFERROR(INDEX($N$5:$Q$204,3,2),"")</f>
      </c>
      <c r="C7">
        <f>IFERROR(INDEX($N$5:$Q$204,3,3),"")</f>
      </c>
      <c r="D7">
        <f>IFERROR(INDEX($N$5:$Q$204,3,4),"")</f>
      </c>
      <c r="H7">
        <f>IFERROR(INDEX(_xlfn.UNIQUE(_xlfn.FILTER('기록'!$C$2:$C$181,('기록'!$C$2:$C$181&lt;&gt;"")*('기록'!$A$2:$A$181&gt;=$B$1)*('기록'!$A$2:$A$181&lt;=$B$2))),3),"")</f>
      </c>
      <c r="I7">
        <f>IF(H7="","",COUNTA(_xlfn.UNIQUE(_xlfn.FILTER('기록'!$A:$A,(('기록'!$C:$C=H7)*('기록'!$A:$A&gt;=$B$1)*('기록'!$A:$A&lt;=$B$2))))))</f>
      </c>
      <c r="J7">
        <f>IF(H7="","",COUNTIFS('기록'!$C:$C,H7,'기록'!$A:$A,"&gt;="&amp;$B$1,'기록'!$A:$A,"&lt;="&amp;$B$2))</f>
      </c>
      <c r="K7">
        <f>IF(H7="","",_xlfn.TEXTJOIN(", ",TRUE,_xlfn.UNIQUE(_xlfn.FILTER('기록'!$A:$A,(('기록'!$C:$C=H7)*('기록'!$A:$A&gt;=$B$1)*('기록'!$A:$A&lt;=$B$2))))))</f>
      </c>
      <c r="L7">
        <f>IF(H7="","",I7)</f>
      </c>
    </row>
    <row r="8" spans="1:12" x14ac:dyDescent="0.25">
      <c r="A8">
        <f>IFERROR(INDEX($N$5:$Q$204,4,1),"")</f>
      </c>
      <c r="B8">
        <f>IFERROR(INDEX($N$5:$Q$204,4,2),"")</f>
      </c>
      <c r="C8">
        <f>IFERROR(INDEX($N$5:$Q$204,4,3),"")</f>
      </c>
      <c r="D8">
        <f>IFERROR(INDEX($N$5:$Q$204,4,4),"")</f>
      </c>
      <c r="H8">
        <f>IFERROR(INDEX(_xlfn.UNIQUE(_xlfn.FILTER('기록'!$C$2:$C$181,('기록'!$C$2:$C$181&lt;&gt;"")*('기록'!$A$2:$A$181&gt;=$B$1)*('기록'!$A$2:$A$181&lt;=$B$2))),4),"")</f>
      </c>
      <c r="I8">
        <f>IF(H8="","",COUNTA(_xlfn.UNIQUE(_xlfn.FILTER('기록'!$A:$A,(('기록'!$C:$C=H8)*('기록'!$A:$A&gt;=$B$1)*('기록'!$A:$A&lt;=$B$2))))))</f>
      </c>
      <c r="J8">
        <f>IF(H8="","",COUNTIFS('기록'!$C:$C,H8,'기록'!$A:$A,"&gt;="&amp;$B$1,'기록'!$A:$A,"&lt;="&amp;$B$2))</f>
      </c>
      <c r="K8">
        <f>IF(H8="","",_xlfn.TEXTJOIN(", ",TRUE,_xlfn.UNIQUE(_xlfn.FILTER('기록'!$A:$A,(('기록'!$C:$C=H8)*('기록'!$A:$A&gt;=$B$1)*('기록'!$A:$A&lt;=$B$2))))))</f>
      </c>
      <c r="L8">
        <f>IF(H8="","",I8)</f>
      </c>
    </row>
    <row r="9" spans="1:12" x14ac:dyDescent="0.25">
      <c r="A9">
        <f>IFERROR(INDEX($N$5:$Q$204,5,1),"")</f>
      </c>
      <c r="B9">
        <f>IFERROR(INDEX($N$5:$Q$204,5,2),"")</f>
      </c>
      <c r="C9">
        <f>IFERROR(INDEX($N$5:$Q$204,5,3),"")</f>
      </c>
      <c r="D9">
        <f>IFERROR(INDEX($N$5:$Q$204,5,4),"")</f>
      </c>
      <c r="H9">
        <f>IFERROR(INDEX(_xlfn.UNIQUE(_xlfn.FILTER('기록'!$C$2:$C$181,('기록'!$C$2:$C$181&lt;&gt;"")*('기록'!$A$2:$A$181&gt;=$B$1)*('기록'!$A$2:$A$181&lt;=$B$2))),5),"")</f>
      </c>
      <c r="I9">
        <f>IF(H9="","",COUNTA(_xlfn.UNIQUE(_xlfn.FILTER('기록'!$A:$A,(('기록'!$C:$C=H9)*('기록'!$A:$A&gt;=$B$1)*('기록'!$A:$A&lt;=$B$2))))))</f>
      </c>
      <c r="J9">
        <f>IF(H9="","",COUNTIFS('기록'!$C:$C,H9,'기록'!$A:$A,"&gt;="&amp;$B$1,'기록'!$A:$A,"&lt;="&amp;$B$2))</f>
      </c>
      <c r="K9">
        <f>IF(H9="","",_xlfn.TEXTJOIN(", ",TRUE,_xlfn.UNIQUE(_xlfn.FILTER('기록'!$A:$A,(('기록'!$C:$C=H9)*('기록'!$A:$A&gt;=$B$1)*('기록'!$A:$A&lt;=$B$2))))))</f>
      </c>
      <c r="L9">
        <f>IF(H9="","",I9)</f>
      </c>
    </row>
    <row r="10" spans="1:12" x14ac:dyDescent="0.25">
      <c r="A10">
        <f>IFERROR(INDEX($N$5:$Q$204,6,1),"")</f>
      </c>
      <c r="B10">
        <f>IFERROR(INDEX($N$5:$Q$204,6,2),"")</f>
      </c>
      <c r="C10">
        <f>IFERROR(INDEX($N$5:$Q$204,6,3),"")</f>
      </c>
      <c r="D10">
        <f>IFERROR(INDEX($N$5:$Q$204,6,4),"")</f>
      </c>
      <c r="H10">
        <f>IFERROR(INDEX(_xlfn.UNIQUE(_xlfn.FILTER('기록'!$C$2:$C$181,('기록'!$C$2:$C$181&lt;&gt;"")*('기록'!$A$2:$A$181&gt;=$B$1)*('기록'!$A$2:$A$181&lt;=$B$2))),6),"")</f>
      </c>
      <c r="I10">
        <f>IF(H10="","",COUNTA(_xlfn.UNIQUE(_xlfn.FILTER('기록'!$A:$A,(('기록'!$C:$C=H10)*('기록'!$A:$A&gt;=$B$1)*('기록'!$A:$A&lt;=$B$2))))))</f>
      </c>
      <c r="J10">
        <f>IF(H10="","",COUNTIFS('기록'!$C:$C,H10,'기록'!$A:$A,"&gt;="&amp;$B$1,'기록'!$A:$A,"&lt;="&amp;$B$2))</f>
      </c>
      <c r="K10">
        <f>IF(H10="","",_xlfn.TEXTJOIN(", ",TRUE,_xlfn.UNIQUE(_xlfn.FILTER('기록'!$A:$A,(('기록'!$C:$C=H10)*('기록'!$A:$A&gt;=$B$1)*('기록'!$A:$A&lt;=$B$2))))))</f>
      </c>
      <c r="L10">
        <f>IF(H10="","",I10)</f>
      </c>
    </row>
    <row r="11" spans="1:12" x14ac:dyDescent="0.25">
      <c r="A11">
        <f>IFERROR(INDEX($N$5:$Q$204,7,1),"")</f>
      </c>
      <c r="B11">
        <f>IFERROR(INDEX($N$5:$Q$204,7,2),"")</f>
      </c>
      <c r="C11">
        <f>IFERROR(INDEX($N$5:$Q$204,7,3),"")</f>
      </c>
      <c r="D11">
        <f>IFERROR(INDEX($N$5:$Q$204,7,4),"")</f>
      </c>
      <c r="H11">
        <f>IFERROR(INDEX(_xlfn.UNIQUE(_xlfn.FILTER('기록'!$C$2:$C$181,('기록'!$C$2:$C$181&lt;&gt;"")*('기록'!$A$2:$A$181&gt;=$B$1)*('기록'!$A$2:$A$181&lt;=$B$2))),7),"")</f>
      </c>
      <c r="I11">
        <f>IF(H11="","",COUNTA(_xlfn.UNIQUE(_xlfn.FILTER('기록'!$A:$A,(('기록'!$C:$C=H11)*('기록'!$A:$A&gt;=$B$1)*('기록'!$A:$A&lt;=$B$2))))))</f>
      </c>
      <c r="J11">
        <f>IF(H11="","",COUNTIFS('기록'!$C:$C,H11,'기록'!$A:$A,"&gt;="&amp;$B$1,'기록'!$A:$A,"&lt;="&amp;$B$2))</f>
      </c>
      <c r="K11">
        <f>IF(H11="","",_xlfn.TEXTJOIN(", ",TRUE,_xlfn.UNIQUE(_xlfn.FILTER('기록'!$A:$A,(('기록'!$C:$C=H11)*('기록'!$A:$A&gt;=$B$1)*('기록'!$A:$A&lt;=$B$2))))))</f>
      </c>
      <c r="L11">
        <f>IF(H11="","",I11)</f>
      </c>
    </row>
    <row r="12" spans="1:12" x14ac:dyDescent="0.25">
      <c r="A12">
        <f>IFERROR(INDEX($N$5:$Q$204,8,1),"")</f>
      </c>
      <c r="B12">
        <f>IFERROR(INDEX($N$5:$Q$204,8,2),"")</f>
      </c>
      <c r="C12">
        <f>IFERROR(INDEX($N$5:$Q$204,8,3),"")</f>
      </c>
      <c r="D12">
        <f>IFERROR(INDEX($N$5:$Q$204,8,4),"")</f>
      </c>
      <c r="H12">
        <f>IFERROR(INDEX(_xlfn.UNIQUE(_xlfn.FILTER('기록'!$C$2:$C$181,('기록'!$C$2:$C$181&lt;&gt;"")*('기록'!$A$2:$A$181&gt;=$B$1)*('기록'!$A$2:$A$181&lt;=$B$2))),8),"")</f>
      </c>
      <c r="I12">
        <f>IF(H12="","",COUNTA(_xlfn.UNIQUE(_xlfn.FILTER('기록'!$A:$A,(('기록'!$C:$C=H12)*('기록'!$A:$A&gt;=$B$1)*('기록'!$A:$A&lt;=$B$2))))))</f>
      </c>
      <c r="J12">
        <f>IF(H12="","",COUNTIFS('기록'!$C:$C,H12,'기록'!$A:$A,"&gt;="&amp;$B$1,'기록'!$A:$A,"&lt;="&amp;$B$2))</f>
      </c>
      <c r="K12">
        <f>IF(H12="","",_xlfn.TEXTJOIN(", ",TRUE,_xlfn.UNIQUE(_xlfn.FILTER('기록'!$A:$A,(('기록'!$C:$C=H12)*('기록'!$A:$A&gt;=$B$1)*('기록'!$A:$A&lt;=$B$2))))))</f>
      </c>
      <c r="L12">
        <f>IF(H12="","",I12)</f>
      </c>
    </row>
    <row r="13" spans="1:12" x14ac:dyDescent="0.25">
      <c r="A13">
        <f>IFERROR(INDEX($N$5:$Q$204,9,1),"")</f>
      </c>
      <c r="B13">
        <f>IFERROR(INDEX($N$5:$Q$204,9,2),"")</f>
      </c>
      <c r="C13">
        <f>IFERROR(INDEX($N$5:$Q$204,9,3),"")</f>
      </c>
      <c r="D13">
        <f>IFERROR(INDEX($N$5:$Q$204,9,4),"")</f>
      </c>
      <c r="H13">
        <f>IFERROR(INDEX(_xlfn.UNIQUE(_xlfn.FILTER('기록'!$C$2:$C$181,('기록'!$C$2:$C$181&lt;&gt;"")*('기록'!$A$2:$A$181&gt;=$B$1)*('기록'!$A$2:$A$181&lt;=$B$2))),9),"")</f>
      </c>
      <c r="I13">
        <f>IF(H13="","",COUNTA(_xlfn.UNIQUE(_xlfn.FILTER('기록'!$A:$A,(('기록'!$C:$C=H13)*('기록'!$A:$A&gt;=$B$1)*('기록'!$A:$A&lt;=$B$2))))))</f>
      </c>
      <c r="J13">
        <f>IF(H13="","",COUNTIFS('기록'!$C:$C,H13,'기록'!$A:$A,"&gt;="&amp;$B$1,'기록'!$A:$A,"&lt;="&amp;$B$2))</f>
      </c>
      <c r="K13">
        <f>IF(H13="","",_xlfn.TEXTJOIN(", ",TRUE,_xlfn.UNIQUE(_xlfn.FILTER('기록'!$A:$A,(('기록'!$C:$C=H13)*('기록'!$A:$A&gt;=$B$1)*('기록'!$A:$A&lt;=$B$2))))))</f>
      </c>
      <c r="L13">
        <f>IF(H13="","",I13)</f>
      </c>
    </row>
    <row r="14" spans="1:12" x14ac:dyDescent="0.25">
      <c r="A14">
        <f>IFERROR(INDEX($N$5:$Q$204,10,1),"")</f>
      </c>
      <c r="B14">
        <f>IFERROR(INDEX($N$5:$Q$204,10,2),"")</f>
      </c>
      <c r="C14">
        <f>IFERROR(INDEX($N$5:$Q$204,10,3),"")</f>
      </c>
      <c r="D14">
        <f>IFERROR(INDEX($N$5:$Q$204,10,4),"")</f>
      </c>
      <c r="H14">
        <f>IFERROR(INDEX(_xlfn.UNIQUE(_xlfn.FILTER('기록'!$C$2:$C$181,('기록'!$C$2:$C$181&lt;&gt;"")*('기록'!$A$2:$A$181&gt;=$B$1)*('기록'!$A$2:$A$181&lt;=$B$2))),10),"")</f>
      </c>
      <c r="I14">
        <f>IF(H14="","",COUNTA(_xlfn.UNIQUE(_xlfn.FILTER('기록'!$A:$A,(('기록'!$C:$C=H14)*('기록'!$A:$A&gt;=$B$1)*('기록'!$A:$A&lt;=$B$2))))))</f>
      </c>
      <c r="J14">
        <f>IF(H14="","",COUNTIFS('기록'!$C:$C,H14,'기록'!$A:$A,"&gt;="&amp;$B$1,'기록'!$A:$A,"&lt;="&amp;$B$2))</f>
      </c>
      <c r="K14">
        <f>IF(H14="","",_xlfn.TEXTJOIN(", ",TRUE,_xlfn.UNIQUE(_xlfn.FILTER('기록'!$A:$A,(('기록'!$C:$C=H14)*('기록'!$A:$A&gt;=$B$1)*('기록'!$A:$A&lt;=$B$2))))))</f>
      </c>
      <c r="L14">
        <f>IF(H14="","",I14)</f>
      </c>
    </row>
    <row r="15" spans="1:12" x14ac:dyDescent="0.25">
      <c r="A15">
        <f>IFERROR(INDEX($N$5:$Q$204,11,1),"")</f>
      </c>
      <c r="B15">
        <f>IFERROR(INDEX($N$5:$Q$204,11,2),"")</f>
      </c>
      <c r="C15">
        <f>IFERROR(INDEX($N$5:$Q$204,11,3),"")</f>
      </c>
      <c r="D15">
        <f>IFERROR(INDEX($N$5:$Q$204,11,4),"")</f>
      </c>
      <c r="H15">
        <f>IFERROR(INDEX(_xlfn.UNIQUE(_xlfn.FILTER('기록'!$C$2:$C$181,('기록'!$C$2:$C$181&lt;&gt;"")*('기록'!$A$2:$A$181&gt;=$B$1)*('기록'!$A$2:$A$181&lt;=$B$2))),11),"")</f>
      </c>
      <c r="I15">
        <f>IF(H15="","",COUNTA(_xlfn.UNIQUE(_xlfn.FILTER('기록'!$A:$A,(('기록'!$C:$C=H15)*('기록'!$A:$A&gt;=$B$1)*('기록'!$A:$A&lt;=$B$2))))))</f>
      </c>
      <c r="J15">
        <f>IF(H15="","",COUNTIFS('기록'!$C:$C,H15,'기록'!$A:$A,"&gt;="&amp;$B$1,'기록'!$A:$A,"&lt;="&amp;$B$2))</f>
      </c>
      <c r="K15">
        <f>IF(H15="","",_xlfn.TEXTJOIN(", ",TRUE,_xlfn.UNIQUE(_xlfn.FILTER('기록'!$A:$A,(('기록'!$C:$C=H15)*('기록'!$A:$A&gt;=$B$1)*('기록'!$A:$A&lt;=$B$2))))))</f>
      </c>
      <c r="L15">
        <f>IF(H15="","",I15)</f>
      </c>
    </row>
    <row r="16" spans="1:12" x14ac:dyDescent="0.25">
      <c r="A16">
        <f>IFERROR(INDEX($N$5:$Q$204,12,1),"")</f>
      </c>
      <c r="B16">
        <f>IFERROR(INDEX($N$5:$Q$204,12,2),"")</f>
      </c>
      <c r="C16">
        <f>IFERROR(INDEX($N$5:$Q$204,12,3),"")</f>
      </c>
      <c r="D16">
        <f>IFERROR(INDEX($N$5:$Q$204,12,4),"")</f>
      </c>
      <c r="H16">
        <f>IFERROR(INDEX(_xlfn.UNIQUE(_xlfn.FILTER('기록'!$C$2:$C$181,('기록'!$C$2:$C$181&lt;&gt;"")*('기록'!$A$2:$A$181&gt;=$B$1)*('기록'!$A$2:$A$181&lt;=$B$2))),12),"")</f>
      </c>
      <c r="I16">
        <f>IF(H16="","",COUNTA(_xlfn.UNIQUE(_xlfn.FILTER('기록'!$A:$A,(('기록'!$C:$C=H16)*('기록'!$A:$A&gt;=$B$1)*('기록'!$A:$A&lt;=$B$2))))))</f>
      </c>
      <c r="J16">
        <f>IF(H16="","",COUNTIFS('기록'!$C:$C,H16,'기록'!$A:$A,"&gt;="&amp;$B$1,'기록'!$A:$A,"&lt;="&amp;$B$2))</f>
      </c>
      <c r="K16">
        <f>IF(H16="","",_xlfn.TEXTJOIN(", ",TRUE,_xlfn.UNIQUE(_xlfn.FILTER('기록'!$A:$A,(('기록'!$C:$C=H16)*('기록'!$A:$A&gt;=$B$1)*('기록'!$A:$A&lt;=$B$2))))))</f>
      </c>
      <c r="L16">
        <f>IF(H16="","",I16)</f>
      </c>
    </row>
    <row r="17" spans="1:12" x14ac:dyDescent="0.25">
      <c r="A17">
        <f>IFERROR(INDEX($N$5:$Q$204,13,1),"")</f>
      </c>
      <c r="B17">
        <f>IFERROR(INDEX($N$5:$Q$204,13,2),"")</f>
      </c>
      <c r="C17">
        <f>IFERROR(INDEX($N$5:$Q$204,13,3),"")</f>
      </c>
      <c r="D17">
        <f>IFERROR(INDEX($N$5:$Q$204,13,4),"")</f>
      </c>
      <c r="H17">
        <f>IFERROR(INDEX(_xlfn.UNIQUE(_xlfn.FILTER('기록'!$C$2:$C$181,('기록'!$C$2:$C$181&lt;&gt;"")*('기록'!$A$2:$A$181&gt;=$B$1)*('기록'!$A$2:$A$181&lt;=$B$2))),13),"")</f>
      </c>
      <c r="I17">
        <f>IF(H17="","",COUNTA(_xlfn.UNIQUE(_xlfn.FILTER('기록'!$A:$A,(('기록'!$C:$C=H17)*('기록'!$A:$A&gt;=$B$1)*('기록'!$A:$A&lt;=$B$2))))))</f>
      </c>
      <c r="J17">
        <f>IF(H17="","",COUNTIFS('기록'!$C:$C,H17,'기록'!$A:$A,"&gt;="&amp;$B$1,'기록'!$A:$A,"&lt;="&amp;$B$2))</f>
      </c>
      <c r="K17">
        <f>IF(H17="","",_xlfn.TEXTJOIN(", ",TRUE,_xlfn.UNIQUE(_xlfn.FILTER('기록'!$A:$A,(('기록'!$C:$C=H17)*('기록'!$A:$A&gt;=$B$1)*('기록'!$A:$A&lt;=$B$2))))))</f>
      </c>
      <c r="L17">
        <f>IF(H17="","",I17)</f>
      </c>
    </row>
    <row r="18" spans="1:12" x14ac:dyDescent="0.25">
      <c r="A18">
        <f>IFERROR(INDEX($N$5:$Q$204,14,1),"")</f>
      </c>
      <c r="B18">
        <f>IFERROR(INDEX($N$5:$Q$204,14,2),"")</f>
      </c>
      <c r="C18">
        <f>IFERROR(INDEX($N$5:$Q$204,14,3),"")</f>
      </c>
      <c r="D18">
        <f>IFERROR(INDEX($N$5:$Q$204,14,4),"")</f>
      </c>
      <c r="H18">
        <f>IFERROR(INDEX(_xlfn.UNIQUE(_xlfn.FILTER('기록'!$C$2:$C$181,('기록'!$C$2:$C$181&lt;&gt;"")*('기록'!$A$2:$A$181&gt;=$B$1)*('기록'!$A$2:$A$181&lt;=$B$2))),14),"")</f>
      </c>
      <c r="I18">
        <f>IF(H18="","",COUNTA(_xlfn.UNIQUE(_xlfn.FILTER('기록'!$A:$A,(('기록'!$C:$C=H18)*('기록'!$A:$A&gt;=$B$1)*('기록'!$A:$A&lt;=$B$2))))))</f>
      </c>
      <c r="J18">
        <f>IF(H18="","",COUNTIFS('기록'!$C:$C,H18,'기록'!$A:$A,"&gt;="&amp;$B$1,'기록'!$A:$A,"&lt;="&amp;$B$2))</f>
      </c>
      <c r="K18">
        <f>IF(H18="","",_xlfn.TEXTJOIN(", ",TRUE,_xlfn.UNIQUE(_xlfn.FILTER('기록'!$A:$A,(('기록'!$C:$C=H18)*('기록'!$A:$A&gt;=$B$1)*('기록'!$A:$A&lt;=$B$2))))))</f>
      </c>
      <c r="L18">
        <f>IF(H18="","",I18)</f>
      </c>
    </row>
    <row r="19" spans="1:12" x14ac:dyDescent="0.25">
      <c r="A19">
        <f>IFERROR(INDEX($N$5:$Q$204,15,1),"")</f>
      </c>
      <c r="B19">
        <f>IFERROR(INDEX($N$5:$Q$204,15,2),"")</f>
      </c>
      <c r="C19">
        <f>IFERROR(INDEX($N$5:$Q$204,15,3),"")</f>
      </c>
      <c r="D19">
        <f>IFERROR(INDEX($N$5:$Q$204,15,4),"")</f>
      </c>
      <c r="H19">
        <f>IFERROR(INDEX(_xlfn.UNIQUE(_xlfn.FILTER('기록'!$C$2:$C$181,('기록'!$C$2:$C$181&lt;&gt;"")*('기록'!$A$2:$A$181&gt;=$B$1)*('기록'!$A$2:$A$181&lt;=$B$2))),15),"")</f>
      </c>
      <c r="I19">
        <f>IF(H19="","",COUNTA(_xlfn.UNIQUE(_xlfn.FILTER('기록'!$A:$A,(('기록'!$C:$C=H19)*('기록'!$A:$A&gt;=$B$1)*('기록'!$A:$A&lt;=$B$2))))))</f>
      </c>
      <c r="J19">
        <f>IF(H19="","",COUNTIFS('기록'!$C:$C,H19,'기록'!$A:$A,"&gt;="&amp;$B$1,'기록'!$A:$A,"&lt;="&amp;$B$2))</f>
      </c>
      <c r="K19">
        <f>IF(H19="","",_xlfn.TEXTJOIN(", ",TRUE,_xlfn.UNIQUE(_xlfn.FILTER('기록'!$A:$A,(('기록'!$C:$C=H19)*('기록'!$A:$A&gt;=$B$1)*('기록'!$A:$A&lt;=$B$2))))))</f>
      </c>
      <c r="L19">
        <f>IF(H19="","",I19)</f>
      </c>
    </row>
    <row r="20" spans="1:12" x14ac:dyDescent="0.25">
      <c r="A20">
        <f>IFERROR(INDEX($N$5:$Q$204,16,1),"")</f>
      </c>
      <c r="B20">
        <f>IFERROR(INDEX($N$5:$Q$204,16,2),"")</f>
      </c>
      <c r="C20">
        <f>IFERROR(INDEX($N$5:$Q$204,16,3),"")</f>
      </c>
      <c r="D20">
        <f>IFERROR(INDEX($N$5:$Q$204,16,4),"")</f>
      </c>
      <c r="H20">
        <f>IFERROR(INDEX(_xlfn.UNIQUE(_xlfn.FILTER('기록'!$C$2:$C$181,('기록'!$C$2:$C$181&lt;&gt;"")*('기록'!$A$2:$A$181&gt;=$B$1)*('기록'!$A$2:$A$181&lt;=$B$2))),16),"")</f>
      </c>
      <c r="I20">
        <f>IF(H20="","",COUNTA(_xlfn.UNIQUE(_xlfn.FILTER('기록'!$A:$A,(('기록'!$C:$C=H20)*('기록'!$A:$A&gt;=$B$1)*('기록'!$A:$A&lt;=$B$2))))))</f>
      </c>
      <c r="J20">
        <f>IF(H20="","",COUNTIFS('기록'!$C:$C,H20,'기록'!$A:$A,"&gt;="&amp;$B$1,'기록'!$A:$A,"&lt;="&amp;$B$2))</f>
      </c>
      <c r="K20">
        <f>IF(H20="","",_xlfn.TEXTJOIN(", ",TRUE,_xlfn.UNIQUE(_xlfn.FILTER('기록'!$A:$A,(('기록'!$C:$C=H20)*('기록'!$A:$A&gt;=$B$1)*('기록'!$A:$A&lt;=$B$2))))))</f>
      </c>
      <c r="L20">
        <f>IF(H20="","",I20)</f>
      </c>
    </row>
    <row r="21" spans="1:12" x14ac:dyDescent="0.25">
      <c r="A21">
        <f>IFERROR(INDEX($N$5:$Q$204,17,1),"")</f>
      </c>
      <c r="B21">
        <f>IFERROR(INDEX($N$5:$Q$204,17,2),"")</f>
      </c>
      <c r="C21">
        <f>IFERROR(INDEX($N$5:$Q$204,17,3),"")</f>
      </c>
      <c r="D21">
        <f>IFERROR(INDEX($N$5:$Q$204,17,4),"")</f>
      </c>
      <c r="H21">
        <f>IFERROR(INDEX(_xlfn.UNIQUE(_xlfn.FILTER('기록'!$C$2:$C$181,('기록'!$C$2:$C$181&lt;&gt;"")*('기록'!$A$2:$A$181&gt;=$B$1)*('기록'!$A$2:$A$181&lt;=$B$2))),17),"")</f>
      </c>
      <c r="I21">
        <f>IF(H21="","",COUNTA(_xlfn.UNIQUE(_xlfn.FILTER('기록'!$A:$A,(('기록'!$C:$C=H21)*('기록'!$A:$A&gt;=$B$1)*('기록'!$A:$A&lt;=$B$2))))))</f>
      </c>
      <c r="J21">
        <f>IF(H21="","",COUNTIFS('기록'!$C:$C,H21,'기록'!$A:$A,"&gt;="&amp;$B$1,'기록'!$A:$A,"&lt;="&amp;$B$2))</f>
      </c>
      <c r="K21">
        <f>IF(H21="","",_xlfn.TEXTJOIN(", ",TRUE,_xlfn.UNIQUE(_xlfn.FILTER('기록'!$A:$A,(('기록'!$C:$C=H21)*('기록'!$A:$A&gt;=$B$1)*('기록'!$A:$A&lt;=$B$2))))))</f>
      </c>
      <c r="L21">
        <f>IF(H21="","",I21)</f>
      </c>
    </row>
    <row r="22" spans="1:12" x14ac:dyDescent="0.25">
      <c r="A22">
        <f>IFERROR(INDEX($N$5:$Q$204,18,1),"")</f>
      </c>
      <c r="B22">
        <f>IFERROR(INDEX($N$5:$Q$204,18,2),"")</f>
      </c>
      <c r="C22">
        <f>IFERROR(INDEX($N$5:$Q$204,18,3),"")</f>
      </c>
      <c r="D22">
        <f>IFERROR(INDEX($N$5:$Q$204,18,4),"")</f>
      </c>
      <c r="H22">
        <f>IFERROR(INDEX(_xlfn.UNIQUE(_xlfn.FILTER('기록'!$C$2:$C$181,('기록'!$C$2:$C$181&lt;&gt;"")*('기록'!$A$2:$A$181&gt;=$B$1)*('기록'!$A$2:$A$181&lt;=$B$2))),18),"")</f>
      </c>
      <c r="I22">
        <f>IF(H22="","",COUNTA(_xlfn.UNIQUE(_xlfn.FILTER('기록'!$A:$A,(('기록'!$C:$C=H22)*('기록'!$A:$A&gt;=$B$1)*('기록'!$A:$A&lt;=$B$2))))))</f>
      </c>
      <c r="J22">
        <f>IF(H22="","",COUNTIFS('기록'!$C:$C,H22,'기록'!$A:$A,"&gt;="&amp;$B$1,'기록'!$A:$A,"&lt;="&amp;$B$2))</f>
      </c>
      <c r="K22">
        <f>IF(H22="","",_xlfn.TEXTJOIN(", ",TRUE,_xlfn.UNIQUE(_xlfn.FILTER('기록'!$A:$A,(('기록'!$C:$C=H22)*('기록'!$A:$A&gt;=$B$1)*('기록'!$A:$A&lt;=$B$2))))))</f>
      </c>
      <c r="L22">
        <f>IF(H22="","",I22)</f>
      </c>
    </row>
    <row r="23" spans="1:12" x14ac:dyDescent="0.25">
      <c r="A23">
        <f>IFERROR(INDEX($N$5:$Q$204,19,1),"")</f>
      </c>
      <c r="B23">
        <f>IFERROR(INDEX($N$5:$Q$204,19,2),"")</f>
      </c>
      <c r="C23">
        <f>IFERROR(INDEX($N$5:$Q$204,19,3),"")</f>
      </c>
      <c r="D23">
        <f>IFERROR(INDEX($N$5:$Q$204,19,4),"")</f>
      </c>
      <c r="H23">
        <f>IFERROR(INDEX(_xlfn.UNIQUE(_xlfn.FILTER('기록'!$C$2:$C$181,('기록'!$C$2:$C$181&lt;&gt;"")*('기록'!$A$2:$A$181&gt;=$B$1)*('기록'!$A$2:$A$181&lt;=$B$2))),19),"")</f>
      </c>
      <c r="I23">
        <f>IF(H23="","",COUNTA(_xlfn.UNIQUE(_xlfn.FILTER('기록'!$A:$A,(('기록'!$C:$C=H23)*('기록'!$A:$A&gt;=$B$1)*('기록'!$A:$A&lt;=$B$2))))))</f>
      </c>
      <c r="J23">
        <f>IF(H23="","",COUNTIFS('기록'!$C:$C,H23,'기록'!$A:$A,"&gt;="&amp;$B$1,'기록'!$A:$A,"&lt;="&amp;$B$2))</f>
      </c>
      <c r="K23">
        <f>IF(H23="","",_xlfn.TEXTJOIN(", ",TRUE,_xlfn.UNIQUE(_xlfn.FILTER('기록'!$A:$A,(('기록'!$C:$C=H23)*('기록'!$A:$A&gt;=$B$1)*('기록'!$A:$A&lt;=$B$2))))))</f>
      </c>
      <c r="L23">
        <f>IF(H23="","",I23)</f>
      </c>
    </row>
    <row r="24" spans="1:12" x14ac:dyDescent="0.25">
      <c r="A24">
        <f>IFERROR(INDEX($N$5:$Q$204,20,1),"")</f>
      </c>
      <c r="B24">
        <f>IFERROR(INDEX($N$5:$Q$204,20,2),"")</f>
      </c>
      <c r="C24">
        <f>IFERROR(INDEX($N$5:$Q$204,20,3),"")</f>
      </c>
      <c r="D24">
        <f>IFERROR(INDEX($N$5:$Q$204,20,4),"")</f>
      </c>
      <c r="H24">
        <f>IFERROR(INDEX(_xlfn.UNIQUE(_xlfn.FILTER('기록'!$C$2:$C$181,('기록'!$C$2:$C$181&lt;&gt;"")*('기록'!$A$2:$A$181&gt;=$B$1)*('기록'!$A$2:$A$181&lt;=$B$2))),20),"")</f>
      </c>
      <c r="I24">
        <f>IF(H24="","",COUNTA(_xlfn.UNIQUE(_xlfn.FILTER('기록'!$A:$A,(('기록'!$C:$C=H24)*('기록'!$A:$A&gt;=$B$1)*('기록'!$A:$A&lt;=$B$2))))))</f>
      </c>
      <c r="J24">
        <f>IF(H24="","",COUNTIFS('기록'!$C:$C,H24,'기록'!$A:$A,"&gt;="&amp;$B$1,'기록'!$A:$A,"&lt;="&amp;$B$2))</f>
      </c>
      <c r="K24">
        <f>IF(H24="","",_xlfn.TEXTJOIN(", ",TRUE,_xlfn.UNIQUE(_xlfn.FILTER('기록'!$A:$A,(('기록'!$C:$C=H24)*('기록'!$A:$A&gt;=$B$1)*('기록'!$A:$A&lt;=$B$2))))))</f>
      </c>
      <c r="L24">
        <f>IF(H24="","",I24)</f>
      </c>
    </row>
    <row r="25" spans="1:12" x14ac:dyDescent="0.25">
      <c r="A25">
        <f>IFERROR(INDEX($N$5:$Q$204,21,1),"")</f>
      </c>
      <c r="B25">
        <f>IFERROR(INDEX($N$5:$Q$204,21,2),"")</f>
      </c>
      <c r="C25">
        <f>IFERROR(INDEX($N$5:$Q$204,21,3),"")</f>
      </c>
      <c r="D25">
        <f>IFERROR(INDEX($N$5:$Q$204,21,4),"")</f>
      </c>
      <c r="H25">
        <f>IFERROR(INDEX(_xlfn.UNIQUE(_xlfn.FILTER('기록'!$C$2:$C$181,('기록'!$C$2:$C$181&lt;&gt;"")*('기록'!$A$2:$A$181&gt;=$B$1)*('기록'!$A$2:$A$181&lt;=$B$2))),21),"")</f>
      </c>
      <c r="I25">
        <f>IF(H25="","",COUNTA(_xlfn.UNIQUE(_xlfn.FILTER('기록'!$A:$A,(('기록'!$C:$C=H25)*('기록'!$A:$A&gt;=$B$1)*('기록'!$A:$A&lt;=$B$2))))))</f>
      </c>
      <c r="J25">
        <f>IF(H25="","",COUNTIFS('기록'!$C:$C,H25,'기록'!$A:$A,"&gt;="&amp;$B$1,'기록'!$A:$A,"&lt;="&amp;$B$2))</f>
      </c>
      <c r="K25">
        <f>IF(H25="","",_xlfn.TEXTJOIN(", ",TRUE,_xlfn.UNIQUE(_xlfn.FILTER('기록'!$A:$A,(('기록'!$C:$C=H25)*('기록'!$A:$A&gt;=$B$1)*('기록'!$A:$A&lt;=$B$2))))))</f>
      </c>
      <c r="L25">
        <f>IF(H25="","",I25)</f>
      </c>
    </row>
    <row r="26" spans="1:12" x14ac:dyDescent="0.25">
      <c r="A26">
        <f>IFERROR(INDEX($N$5:$Q$204,22,1),"")</f>
      </c>
      <c r="B26">
        <f>IFERROR(INDEX($N$5:$Q$204,22,2),"")</f>
      </c>
      <c r="C26">
        <f>IFERROR(INDEX($N$5:$Q$204,22,3),"")</f>
      </c>
      <c r="D26">
        <f>IFERROR(INDEX($N$5:$Q$204,22,4),"")</f>
      </c>
      <c r="H26">
        <f>IFERROR(INDEX(_xlfn.UNIQUE(_xlfn.FILTER('기록'!$C$2:$C$181,('기록'!$C$2:$C$181&lt;&gt;"")*('기록'!$A$2:$A$181&gt;=$B$1)*('기록'!$A$2:$A$181&lt;=$B$2))),22),"")</f>
      </c>
      <c r="I26">
        <f>IF(H26="","",COUNTA(_xlfn.UNIQUE(_xlfn.FILTER('기록'!$A:$A,(('기록'!$C:$C=H26)*('기록'!$A:$A&gt;=$B$1)*('기록'!$A:$A&lt;=$B$2))))))</f>
      </c>
      <c r="J26">
        <f>IF(H26="","",COUNTIFS('기록'!$C:$C,H26,'기록'!$A:$A,"&gt;="&amp;$B$1,'기록'!$A:$A,"&lt;="&amp;$B$2))</f>
      </c>
      <c r="K26">
        <f>IF(H26="","",_xlfn.TEXTJOIN(", ",TRUE,_xlfn.UNIQUE(_xlfn.FILTER('기록'!$A:$A,(('기록'!$C:$C=H26)*('기록'!$A:$A&gt;=$B$1)*('기록'!$A:$A&lt;=$B$2))))))</f>
      </c>
      <c r="L26">
        <f>IF(H26="","",I26)</f>
      </c>
    </row>
    <row r="27" spans="1:12" x14ac:dyDescent="0.25">
      <c r="A27">
        <f>IFERROR(INDEX($N$5:$Q$204,23,1),"")</f>
      </c>
      <c r="B27">
        <f>IFERROR(INDEX($N$5:$Q$204,23,2),"")</f>
      </c>
      <c r="C27">
        <f>IFERROR(INDEX($N$5:$Q$204,23,3),"")</f>
      </c>
      <c r="D27">
        <f>IFERROR(INDEX($N$5:$Q$204,23,4),"")</f>
      </c>
      <c r="H27">
        <f>IFERROR(INDEX(_xlfn.UNIQUE(_xlfn.FILTER('기록'!$C$2:$C$181,('기록'!$C$2:$C$181&lt;&gt;"")*('기록'!$A$2:$A$181&gt;=$B$1)*('기록'!$A$2:$A$181&lt;=$B$2))),23),"")</f>
      </c>
      <c r="I27">
        <f>IF(H27="","",COUNTA(_xlfn.UNIQUE(_xlfn.FILTER('기록'!$A:$A,(('기록'!$C:$C=H27)*('기록'!$A:$A&gt;=$B$1)*('기록'!$A:$A&lt;=$B$2))))))</f>
      </c>
      <c r="J27">
        <f>IF(H27="","",COUNTIFS('기록'!$C:$C,H27,'기록'!$A:$A,"&gt;="&amp;$B$1,'기록'!$A:$A,"&lt;="&amp;$B$2))</f>
      </c>
      <c r="K27">
        <f>IF(H27="","",_xlfn.TEXTJOIN(", ",TRUE,_xlfn.UNIQUE(_xlfn.FILTER('기록'!$A:$A,(('기록'!$C:$C=H27)*('기록'!$A:$A&gt;=$B$1)*('기록'!$A:$A&lt;=$B$2))))))</f>
      </c>
      <c r="L27">
        <f>IF(H27="","",I27)</f>
      </c>
    </row>
    <row r="28" spans="1:12" x14ac:dyDescent="0.25">
      <c r="A28">
        <f>IFERROR(INDEX($N$5:$Q$204,24,1),"")</f>
      </c>
      <c r="B28">
        <f>IFERROR(INDEX($N$5:$Q$204,24,2),"")</f>
      </c>
      <c r="C28">
        <f>IFERROR(INDEX($N$5:$Q$204,24,3),"")</f>
      </c>
      <c r="D28">
        <f>IFERROR(INDEX($N$5:$Q$204,24,4),"")</f>
      </c>
      <c r="H28">
        <f>IFERROR(INDEX(_xlfn.UNIQUE(_xlfn.FILTER('기록'!$C$2:$C$181,('기록'!$C$2:$C$181&lt;&gt;"")*('기록'!$A$2:$A$181&gt;=$B$1)*('기록'!$A$2:$A$181&lt;=$B$2))),24),"")</f>
      </c>
      <c r="I28">
        <f>IF(H28="","",COUNTA(_xlfn.UNIQUE(_xlfn.FILTER('기록'!$A:$A,(('기록'!$C:$C=H28)*('기록'!$A:$A&gt;=$B$1)*('기록'!$A:$A&lt;=$B$2))))))</f>
      </c>
      <c r="J28">
        <f>IF(H28="","",COUNTIFS('기록'!$C:$C,H28,'기록'!$A:$A,"&gt;="&amp;$B$1,'기록'!$A:$A,"&lt;="&amp;$B$2))</f>
      </c>
      <c r="K28">
        <f>IF(H28="","",_xlfn.TEXTJOIN(", ",TRUE,_xlfn.UNIQUE(_xlfn.FILTER('기록'!$A:$A,(('기록'!$C:$C=H28)*('기록'!$A:$A&gt;=$B$1)*('기록'!$A:$A&lt;=$B$2))))))</f>
      </c>
      <c r="L28">
        <f>IF(H28="","",I28)</f>
      </c>
    </row>
    <row r="29" spans="1:12" x14ac:dyDescent="0.25">
      <c r="A29">
        <f>IFERROR(INDEX($N$5:$Q$204,25,1),"")</f>
      </c>
      <c r="B29">
        <f>IFERROR(INDEX($N$5:$Q$204,25,2),"")</f>
      </c>
      <c r="C29">
        <f>IFERROR(INDEX($N$5:$Q$204,25,3),"")</f>
      </c>
      <c r="D29">
        <f>IFERROR(INDEX($N$5:$Q$204,25,4),"")</f>
      </c>
      <c r="H29">
        <f>IFERROR(INDEX(_xlfn.UNIQUE(_xlfn.FILTER('기록'!$C$2:$C$181,('기록'!$C$2:$C$181&lt;&gt;"")*('기록'!$A$2:$A$181&gt;=$B$1)*('기록'!$A$2:$A$181&lt;=$B$2))),25),"")</f>
      </c>
      <c r="I29">
        <f>IF(H29="","",COUNTA(_xlfn.UNIQUE(_xlfn.FILTER('기록'!$A:$A,(('기록'!$C:$C=H29)*('기록'!$A:$A&gt;=$B$1)*('기록'!$A:$A&lt;=$B$2))))))</f>
      </c>
      <c r="J29">
        <f>IF(H29="","",COUNTIFS('기록'!$C:$C,H29,'기록'!$A:$A,"&gt;="&amp;$B$1,'기록'!$A:$A,"&lt;="&amp;$B$2))</f>
      </c>
      <c r="K29">
        <f>IF(H29="","",_xlfn.TEXTJOIN(", ",TRUE,_xlfn.UNIQUE(_xlfn.FILTER('기록'!$A:$A,(('기록'!$C:$C=H29)*('기록'!$A:$A&gt;=$B$1)*('기록'!$A:$A&lt;=$B$2))))))</f>
      </c>
      <c r="L29">
        <f>IF(H29="","",I29)</f>
      </c>
    </row>
    <row r="30" spans="1:12" x14ac:dyDescent="0.25">
      <c r="A30">
        <f>IFERROR(INDEX($N$5:$Q$204,26,1),"")</f>
      </c>
      <c r="B30">
        <f>IFERROR(INDEX($N$5:$Q$204,26,2),"")</f>
      </c>
      <c r="C30">
        <f>IFERROR(INDEX($N$5:$Q$204,26,3),"")</f>
      </c>
      <c r="D30">
        <f>IFERROR(INDEX($N$5:$Q$204,26,4),"")</f>
      </c>
      <c r="H30">
        <f>IFERROR(INDEX(_xlfn.UNIQUE(_xlfn.FILTER('기록'!$C$2:$C$181,('기록'!$C$2:$C$181&lt;&gt;"")*('기록'!$A$2:$A$181&gt;=$B$1)*('기록'!$A$2:$A$181&lt;=$B$2))),26),"")</f>
      </c>
      <c r="I30">
        <f>IF(H30="","",COUNTA(_xlfn.UNIQUE(_xlfn.FILTER('기록'!$A:$A,(('기록'!$C:$C=H30)*('기록'!$A:$A&gt;=$B$1)*('기록'!$A:$A&lt;=$B$2))))))</f>
      </c>
      <c r="J30">
        <f>IF(H30="","",COUNTIFS('기록'!$C:$C,H30,'기록'!$A:$A,"&gt;="&amp;$B$1,'기록'!$A:$A,"&lt;="&amp;$B$2))</f>
      </c>
      <c r="K30">
        <f>IF(H30="","",_xlfn.TEXTJOIN(", ",TRUE,_xlfn.UNIQUE(_xlfn.FILTER('기록'!$A:$A,(('기록'!$C:$C=H30)*('기록'!$A:$A&gt;=$B$1)*('기록'!$A:$A&lt;=$B$2))))))</f>
      </c>
      <c r="L30">
        <f>IF(H30="","",I30)</f>
      </c>
    </row>
    <row r="31" spans="1:12" x14ac:dyDescent="0.25">
      <c r="A31">
        <f>IFERROR(INDEX($N$5:$Q$204,27,1),"")</f>
      </c>
      <c r="B31">
        <f>IFERROR(INDEX($N$5:$Q$204,27,2),"")</f>
      </c>
      <c r="C31">
        <f>IFERROR(INDEX($N$5:$Q$204,27,3),"")</f>
      </c>
      <c r="D31">
        <f>IFERROR(INDEX($N$5:$Q$204,27,4),"")</f>
      </c>
      <c r="H31">
        <f>IFERROR(INDEX(_xlfn.UNIQUE(_xlfn.FILTER('기록'!$C$2:$C$181,('기록'!$C$2:$C$181&lt;&gt;"")*('기록'!$A$2:$A$181&gt;=$B$1)*('기록'!$A$2:$A$181&lt;=$B$2))),27),"")</f>
      </c>
      <c r="I31">
        <f>IF(H31="","",COUNTA(_xlfn.UNIQUE(_xlfn.FILTER('기록'!$A:$A,(('기록'!$C:$C=H31)*('기록'!$A:$A&gt;=$B$1)*('기록'!$A:$A&lt;=$B$2))))))</f>
      </c>
      <c r="J31">
        <f>IF(H31="","",COUNTIFS('기록'!$C:$C,H31,'기록'!$A:$A,"&gt;="&amp;$B$1,'기록'!$A:$A,"&lt;="&amp;$B$2))</f>
      </c>
      <c r="K31">
        <f>IF(H31="","",_xlfn.TEXTJOIN(", ",TRUE,_xlfn.UNIQUE(_xlfn.FILTER('기록'!$A:$A,(('기록'!$C:$C=H31)*('기록'!$A:$A&gt;=$B$1)*('기록'!$A:$A&lt;=$B$2))))))</f>
      </c>
      <c r="L31">
        <f>IF(H31="","",I31)</f>
      </c>
    </row>
    <row r="32" spans="1:12" x14ac:dyDescent="0.25">
      <c r="A32">
        <f>IFERROR(INDEX($N$5:$Q$204,28,1),"")</f>
      </c>
      <c r="B32">
        <f>IFERROR(INDEX($N$5:$Q$204,28,2),"")</f>
      </c>
      <c r="C32">
        <f>IFERROR(INDEX($N$5:$Q$204,28,3),"")</f>
      </c>
      <c r="D32">
        <f>IFERROR(INDEX($N$5:$Q$204,28,4),"")</f>
      </c>
      <c r="H32">
        <f>IFERROR(INDEX(_xlfn.UNIQUE(_xlfn.FILTER('기록'!$C$2:$C$181,('기록'!$C$2:$C$181&lt;&gt;"")*('기록'!$A$2:$A$181&gt;=$B$1)*('기록'!$A$2:$A$181&lt;=$B$2))),28),"")</f>
      </c>
      <c r="I32">
        <f>IF(H32="","",COUNTA(_xlfn.UNIQUE(_xlfn.FILTER('기록'!$A:$A,(('기록'!$C:$C=H32)*('기록'!$A:$A&gt;=$B$1)*('기록'!$A:$A&lt;=$B$2))))))</f>
      </c>
      <c r="J32">
        <f>IF(H32="","",COUNTIFS('기록'!$C:$C,H32,'기록'!$A:$A,"&gt;="&amp;$B$1,'기록'!$A:$A,"&lt;="&amp;$B$2))</f>
      </c>
      <c r="K32">
        <f>IF(H32="","",_xlfn.TEXTJOIN(", ",TRUE,_xlfn.UNIQUE(_xlfn.FILTER('기록'!$A:$A,(('기록'!$C:$C=H32)*('기록'!$A:$A&gt;=$B$1)*('기록'!$A:$A&lt;=$B$2))))))</f>
      </c>
      <c r="L32">
        <f>IF(H32="","",I32)</f>
      </c>
    </row>
    <row r="33" spans="1:12" x14ac:dyDescent="0.25">
      <c r="A33">
        <f>IFERROR(INDEX($N$5:$Q$204,29,1),"")</f>
      </c>
      <c r="B33">
        <f>IFERROR(INDEX($N$5:$Q$204,29,2),"")</f>
      </c>
      <c r="C33">
        <f>IFERROR(INDEX($N$5:$Q$204,29,3),"")</f>
      </c>
      <c r="D33">
        <f>IFERROR(INDEX($N$5:$Q$204,29,4),"")</f>
      </c>
      <c r="H33">
        <f>IFERROR(INDEX(_xlfn.UNIQUE(_xlfn.FILTER('기록'!$C$2:$C$181,('기록'!$C$2:$C$181&lt;&gt;"")*('기록'!$A$2:$A$181&gt;=$B$1)*('기록'!$A$2:$A$181&lt;=$B$2))),29),"")</f>
      </c>
      <c r="I33">
        <f>IF(H33="","",COUNTA(_xlfn.UNIQUE(_xlfn.FILTER('기록'!$A:$A,(('기록'!$C:$C=H33)*('기록'!$A:$A&gt;=$B$1)*('기록'!$A:$A&lt;=$B$2))))))</f>
      </c>
      <c r="J33">
        <f>IF(H33="","",COUNTIFS('기록'!$C:$C,H33,'기록'!$A:$A,"&gt;="&amp;$B$1,'기록'!$A:$A,"&lt;="&amp;$B$2))</f>
      </c>
      <c r="K33">
        <f>IF(H33="","",_xlfn.TEXTJOIN(", ",TRUE,_xlfn.UNIQUE(_xlfn.FILTER('기록'!$A:$A,(('기록'!$C:$C=H33)*('기록'!$A:$A&gt;=$B$1)*('기록'!$A:$A&lt;=$B$2))))))</f>
      </c>
      <c r="L33">
        <f>IF(H33="","",I33)</f>
      </c>
    </row>
    <row r="34" spans="1:12" x14ac:dyDescent="0.25">
      <c r="A34">
        <f>IFERROR(INDEX($N$5:$Q$204,30,1),"")</f>
      </c>
      <c r="B34">
        <f>IFERROR(INDEX($N$5:$Q$204,30,2),"")</f>
      </c>
      <c r="C34">
        <f>IFERROR(INDEX($N$5:$Q$204,30,3),"")</f>
      </c>
      <c r="D34">
        <f>IFERROR(INDEX($N$5:$Q$204,30,4),"")</f>
      </c>
      <c r="H34">
        <f>IFERROR(INDEX(_xlfn.UNIQUE(_xlfn.FILTER('기록'!$C$2:$C$181,('기록'!$C$2:$C$181&lt;&gt;"")*('기록'!$A$2:$A$181&gt;=$B$1)*('기록'!$A$2:$A$181&lt;=$B$2))),30),"")</f>
      </c>
      <c r="I34">
        <f>IF(H34="","",COUNTA(_xlfn.UNIQUE(_xlfn.FILTER('기록'!$A:$A,(('기록'!$C:$C=H34)*('기록'!$A:$A&gt;=$B$1)*('기록'!$A:$A&lt;=$B$2))))))</f>
      </c>
      <c r="J34">
        <f>IF(H34="","",COUNTIFS('기록'!$C:$C,H34,'기록'!$A:$A,"&gt;="&amp;$B$1,'기록'!$A:$A,"&lt;="&amp;$B$2))</f>
      </c>
      <c r="K34">
        <f>IF(H34="","",_xlfn.TEXTJOIN(", ",TRUE,_xlfn.UNIQUE(_xlfn.FILTER('기록'!$A:$A,(('기록'!$C:$C=H34)*('기록'!$A:$A&gt;=$B$1)*('기록'!$A:$A&lt;=$B$2))))))</f>
      </c>
      <c r="L34">
        <f>IF(H34="","",I34)</f>
      </c>
    </row>
    <row r="35" spans="1:12" x14ac:dyDescent="0.25">
      <c r="A35">
        <f>IFERROR(INDEX($N$5:$Q$204,31,1),"")</f>
      </c>
      <c r="B35">
        <f>IFERROR(INDEX($N$5:$Q$204,31,2),"")</f>
      </c>
      <c r="C35">
        <f>IFERROR(INDEX($N$5:$Q$204,31,3),"")</f>
      </c>
      <c r="D35">
        <f>IFERROR(INDEX($N$5:$Q$204,31,4),"")</f>
      </c>
      <c r="H35">
        <f>IFERROR(INDEX(_xlfn.UNIQUE(_xlfn.FILTER('기록'!$C$2:$C$181,('기록'!$C$2:$C$181&lt;&gt;"")*('기록'!$A$2:$A$181&gt;=$B$1)*('기록'!$A$2:$A$181&lt;=$B$2))),31),"")</f>
      </c>
      <c r="I35">
        <f>IF(H35="","",COUNTA(_xlfn.UNIQUE(_xlfn.FILTER('기록'!$A:$A,(('기록'!$C:$C=H35)*('기록'!$A:$A&gt;=$B$1)*('기록'!$A:$A&lt;=$B$2))))))</f>
      </c>
      <c r="J35">
        <f>IF(H35="","",COUNTIFS('기록'!$C:$C,H35,'기록'!$A:$A,"&gt;="&amp;$B$1,'기록'!$A:$A,"&lt;="&amp;$B$2))</f>
      </c>
      <c r="K35">
        <f>IF(H35="","",_xlfn.TEXTJOIN(", ",TRUE,_xlfn.UNIQUE(_xlfn.FILTER('기록'!$A:$A,(('기록'!$C:$C=H35)*('기록'!$A:$A&gt;=$B$1)*('기록'!$A:$A&lt;=$B$2))))))</f>
      </c>
      <c r="L35">
        <f>IF(H35="","",I35)</f>
      </c>
    </row>
    <row r="36" spans="1:12" x14ac:dyDescent="0.25">
      <c r="A36">
        <f>IFERROR(INDEX($N$5:$Q$204,32,1),"")</f>
      </c>
      <c r="B36">
        <f>IFERROR(INDEX($N$5:$Q$204,32,2),"")</f>
      </c>
      <c r="C36">
        <f>IFERROR(INDEX($N$5:$Q$204,32,3),"")</f>
      </c>
      <c r="D36">
        <f>IFERROR(INDEX($N$5:$Q$204,32,4),"")</f>
      </c>
      <c r="H36">
        <f>IFERROR(INDEX(_xlfn.UNIQUE(_xlfn.FILTER('기록'!$C$2:$C$181,('기록'!$C$2:$C$181&lt;&gt;"")*('기록'!$A$2:$A$181&gt;=$B$1)*('기록'!$A$2:$A$181&lt;=$B$2))),32),"")</f>
      </c>
      <c r="I36">
        <f>IF(H36="","",COUNTA(_xlfn.UNIQUE(_xlfn.FILTER('기록'!$A:$A,(('기록'!$C:$C=H36)*('기록'!$A:$A&gt;=$B$1)*('기록'!$A:$A&lt;=$B$2))))))</f>
      </c>
      <c r="J36">
        <f>IF(H36="","",COUNTIFS('기록'!$C:$C,H36,'기록'!$A:$A,"&gt;="&amp;$B$1,'기록'!$A:$A,"&lt;="&amp;$B$2))</f>
      </c>
      <c r="K36">
        <f>IF(H36="","",_xlfn.TEXTJOIN(", ",TRUE,_xlfn.UNIQUE(_xlfn.FILTER('기록'!$A:$A,(('기록'!$C:$C=H36)*('기록'!$A:$A&gt;=$B$1)*('기록'!$A:$A&lt;=$B$2))))))</f>
      </c>
      <c r="L36">
        <f>IF(H36="","",I36)</f>
      </c>
    </row>
    <row r="37" spans="1:12" x14ac:dyDescent="0.25">
      <c r="A37">
        <f>IFERROR(INDEX($N$5:$Q$204,33,1),"")</f>
      </c>
      <c r="B37">
        <f>IFERROR(INDEX($N$5:$Q$204,33,2),"")</f>
      </c>
      <c r="C37">
        <f>IFERROR(INDEX($N$5:$Q$204,33,3),"")</f>
      </c>
      <c r="D37">
        <f>IFERROR(INDEX($N$5:$Q$204,33,4),"")</f>
      </c>
      <c r="H37">
        <f>IFERROR(INDEX(_xlfn.UNIQUE(_xlfn.FILTER('기록'!$C$2:$C$181,('기록'!$C$2:$C$181&lt;&gt;"")*('기록'!$A$2:$A$181&gt;=$B$1)*('기록'!$A$2:$A$181&lt;=$B$2))),33),"")</f>
      </c>
      <c r="I37">
        <f>IF(H37="","",COUNTA(_xlfn.UNIQUE(_xlfn.FILTER('기록'!$A:$A,(('기록'!$C:$C=H37)*('기록'!$A:$A&gt;=$B$1)*('기록'!$A:$A&lt;=$B$2))))))</f>
      </c>
      <c r="J37">
        <f>IF(H37="","",COUNTIFS('기록'!$C:$C,H37,'기록'!$A:$A,"&gt;="&amp;$B$1,'기록'!$A:$A,"&lt;="&amp;$B$2))</f>
      </c>
      <c r="K37">
        <f>IF(H37="","",_xlfn.TEXTJOIN(", ",TRUE,_xlfn.UNIQUE(_xlfn.FILTER('기록'!$A:$A,(('기록'!$C:$C=H37)*('기록'!$A:$A&gt;=$B$1)*('기록'!$A:$A&lt;=$B$2))))))</f>
      </c>
      <c r="L37">
        <f>IF(H37="","",I37)</f>
      </c>
    </row>
    <row r="38" spans="1:12" x14ac:dyDescent="0.25">
      <c r="A38">
        <f>IFERROR(INDEX($N$5:$Q$204,34,1),"")</f>
      </c>
      <c r="B38">
        <f>IFERROR(INDEX($N$5:$Q$204,34,2),"")</f>
      </c>
      <c r="C38">
        <f>IFERROR(INDEX($N$5:$Q$204,34,3),"")</f>
      </c>
      <c r="D38">
        <f>IFERROR(INDEX($N$5:$Q$204,34,4),"")</f>
      </c>
      <c r="H38">
        <f>IFERROR(INDEX(_xlfn.UNIQUE(_xlfn.FILTER('기록'!$C$2:$C$181,('기록'!$C$2:$C$181&lt;&gt;"")*('기록'!$A$2:$A$181&gt;=$B$1)*('기록'!$A$2:$A$181&lt;=$B$2))),34),"")</f>
      </c>
      <c r="I38">
        <f>IF(H38="","",COUNTA(_xlfn.UNIQUE(_xlfn.FILTER('기록'!$A:$A,(('기록'!$C:$C=H38)*('기록'!$A:$A&gt;=$B$1)*('기록'!$A:$A&lt;=$B$2))))))</f>
      </c>
      <c r="J38">
        <f>IF(H38="","",COUNTIFS('기록'!$C:$C,H38,'기록'!$A:$A,"&gt;="&amp;$B$1,'기록'!$A:$A,"&lt;="&amp;$B$2))</f>
      </c>
      <c r="K38">
        <f>IF(H38="","",_xlfn.TEXTJOIN(", ",TRUE,_xlfn.UNIQUE(_xlfn.FILTER('기록'!$A:$A,(('기록'!$C:$C=H38)*('기록'!$A:$A&gt;=$B$1)*('기록'!$A:$A&lt;=$B$2))))))</f>
      </c>
      <c r="L38">
        <f>IF(H38="","",I38)</f>
      </c>
    </row>
    <row r="39" spans="1:12" x14ac:dyDescent="0.25">
      <c r="A39">
        <f>IFERROR(INDEX($N$5:$Q$204,35,1),"")</f>
      </c>
      <c r="B39">
        <f>IFERROR(INDEX($N$5:$Q$204,35,2),"")</f>
      </c>
      <c r="C39">
        <f>IFERROR(INDEX($N$5:$Q$204,35,3),"")</f>
      </c>
      <c r="D39">
        <f>IFERROR(INDEX($N$5:$Q$204,35,4),"")</f>
      </c>
      <c r="H39">
        <f>IFERROR(INDEX(_xlfn.UNIQUE(_xlfn.FILTER('기록'!$C$2:$C$181,('기록'!$C$2:$C$181&lt;&gt;"")*('기록'!$A$2:$A$181&gt;=$B$1)*('기록'!$A$2:$A$181&lt;=$B$2))),35),"")</f>
      </c>
      <c r="I39">
        <f>IF(H39="","",COUNTA(_xlfn.UNIQUE(_xlfn.FILTER('기록'!$A:$A,(('기록'!$C:$C=H39)*('기록'!$A:$A&gt;=$B$1)*('기록'!$A:$A&lt;=$B$2))))))</f>
      </c>
      <c r="J39">
        <f>IF(H39="","",COUNTIFS('기록'!$C:$C,H39,'기록'!$A:$A,"&gt;="&amp;$B$1,'기록'!$A:$A,"&lt;="&amp;$B$2))</f>
      </c>
      <c r="K39">
        <f>IF(H39="","",_xlfn.TEXTJOIN(", ",TRUE,_xlfn.UNIQUE(_xlfn.FILTER('기록'!$A:$A,(('기록'!$C:$C=H39)*('기록'!$A:$A&gt;=$B$1)*('기록'!$A:$A&lt;=$B$2))))))</f>
      </c>
      <c r="L39">
        <f>IF(H39="","",I39)</f>
      </c>
    </row>
    <row r="40" spans="1:12" x14ac:dyDescent="0.25">
      <c r="A40">
        <f>IFERROR(INDEX($N$5:$Q$204,36,1),"")</f>
      </c>
      <c r="B40">
        <f>IFERROR(INDEX($N$5:$Q$204,36,2),"")</f>
      </c>
      <c r="C40">
        <f>IFERROR(INDEX($N$5:$Q$204,36,3),"")</f>
      </c>
      <c r="D40">
        <f>IFERROR(INDEX($N$5:$Q$204,36,4),"")</f>
      </c>
      <c r="H40">
        <f>IFERROR(INDEX(_xlfn.UNIQUE(_xlfn.FILTER('기록'!$C$2:$C$181,('기록'!$C$2:$C$181&lt;&gt;"")*('기록'!$A$2:$A$181&gt;=$B$1)*('기록'!$A$2:$A$181&lt;=$B$2))),36),"")</f>
      </c>
      <c r="I40">
        <f>IF(H40="","",COUNTA(_xlfn.UNIQUE(_xlfn.FILTER('기록'!$A:$A,(('기록'!$C:$C=H40)*('기록'!$A:$A&gt;=$B$1)*('기록'!$A:$A&lt;=$B$2))))))</f>
      </c>
      <c r="J40">
        <f>IF(H40="","",COUNTIFS('기록'!$C:$C,H40,'기록'!$A:$A,"&gt;="&amp;$B$1,'기록'!$A:$A,"&lt;="&amp;$B$2))</f>
      </c>
      <c r="K40">
        <f>IF(H40="","",_xlfn.TEXTJOIN(", ",TRUE,_xlfn.UNIQUE(_xlfn.FILTER('기록'!$A:$A,(('기록'!$C:$C=H40)*('기록'!$A:$A&gt;=$B$1)*('기록'!$A:$A&lt;=$B$2))))))</f>
      </c>
      <c r="L40">
        <f>IF(H40="","",I40)</f>
      </c>
    </row>
    <row r="41" spans="1:12" x14ac:dyDescent="0.25">
      <c r="A41">
        <f>IFERROR(INDEX($N$5:$Q$204,37,1),"")</f>
      </c>
      <c r="B41">
        <f>IFERROR(INDEX($N$5:$Q$204,37,2),"")</f>
      </c>
      <c r="C41">
        <f>IFERROR(INDEX($N$5:$Q$204,37,3),"")</f>
      </c>
      <c r="D41">
        <f>IFERROR(INDEX($N$5:$Q$204,37,4),"")</f>
      </c>
      <c r="H41">
        <f>IFERROR(INDEX(_xlfn.UNIQUE(_xlfn.FILTER('기록'!$C$2:$C$181,('기록'!$C$2:$C$181&lt;&gt;"")*('기록'!$A$2:$A$181&gt;=$B$1)*('기록'!$A$2:$A$181&lt;=$B$2))),37),"")</f>
      </c>
      <c r="I41">
        <f>IF(H41="","",COUNTA(_xlfn.UNIQUE(_xlfn.FILTER('기록'!$A:$A,(('기록'!$C:$C=H41)*('기록'!$A:$A&gt;=$B$1)*('기록'!$A:$A&lt;=$B$2))))))</f>
      </c>
      <c r="J41">
        <f>IF(H41="","",COUNTIFS('기록'!$C:$C,H41,'기록'!$A:$A,"&gt;="&amp;$B$1,'기록'!$A:$A,"&lt;="&amp;$B$2))</f>
      </c>
      <c r="K41">
        <f>IF(H41="","",_xlfn.TEXTJOIN(", ",TRUE,_xlfn.UNIQUE(_xlfn.FILTER('기록'!$A:$A,(('기록'!$C:$C=H41)*('기록'!$A:$A&gt;=$B$1)*('기록'!$A:$A&lt;=$B$2))))))</f>
      </c>
      <c r="L41">
        <f>IF(H41="","",I41)</f>
      </c>
    </row>
    <row r="42" spans="1:12" x14ac:dyDescent="0.25">
      <c r="A42">
        <f>IFERROR(INDEX($N$5:$Q$204,38,1),"")</f>
      </c>
      <c r="B42">
        <f>IFERROR(INDEX($N$5:$Q$204,38,2),"")</f>
      </c>
      <c r="C42">
        <f>IFERROR(INDEX($N$5:$Q$204,38,3),"")</f>
      </c>
      <c r="D42">
        <f>IFERROR(INDEX($N$5:$Q$204,38,4),"")</f>
      </c>
      <c r="H42">
        <f>IFERROR(INDEX(_xlfn.UNIQUE(_xlfn.FILTER('기록'!$C$2:$C$181,('기록'!$C$2:$C$181&lt;&gt;"")*('기록'!$A$2:$A$181&gt;=$B$1)*('기록'!$A$2:$A$181&lt;=$B$2))),38),"")</f>
      </c>
      <c r="I42">
        <f>IF(H42="","",COUNTA(_xlfn.UNIQUE(_xlfn.FILTER('기록'!$A:$A,(('기록'!$C:$C=H42)*('기록'!$A:$A&gt;=$B$1)*('기록'!$A:$A&lt;=$B$2))))))</f>
      </c>
      <c r="J42">
        <f>IF(H42="","",COUNTIFS('기록'!$C:$C,H42,'기록'!$A:$A,"&gt;="&amp;$B$1,'기록'!$A:$A,"&lt;="&amp;$B$2))</f>
      </c>
      <c r="K42">
        <f>IF(H42="","",_xlfn.TEXTJOIN(", ",TRUE,_xlfn.UNIQUE(_xlfn.FILTER('기록'!$A:$A,(('기록'!$C:$C=H42)*('기록'!$A:$A&gt;=$B$1)*('기록'!$A:$A&lt;=$B$2))))))</f>
      </c>
      <c r="L42">
        <f>IF(H42="","",I42)</f>
      </c>
    </row>
    <row r="43" spans="1:12" x14ac:dyDescent="0.25">
      <c r="A43">
        <f>IFERROR(INDEX($N$5:$Q$204,39,1),"")</f>
      </c>
      <c r="B43">
        <f>IFERROR(INDEX($N$5:$Q$204,39,2),"")</f>
      </c>
      <c r="C43">
        <f>IFERROR(INDEX($N$5:$Q$204,39,3),"")</f>
      </c>
      <c r="D43">
        <f>IFERROR(INDEX($N$5:$Q$204,39,4),"")</f>
      </c>
      <c r="H43">
        <f>IFERROR(INDEX(_xlfn.UNIQUE(_xlfn.FILTER('기록'!$C$2:$C$181,('기록'!$C$2:$C$181&lt;&gt;"")*('기록'!$A$2:$A$181&gt;=$B$1)*('기록'!$A$2:$A$181&lt;=$B$2))),39),"")</f>
      </c>
      <c r="I43">
        <f>IF(H43="","",COUNTA(_xlfn.UNIQUE(_xlfn.FILTER('기록'!$A:$A,(('기록'!$C:$C=H43)*('기록'!$A:$A&gt;=$B$1)*('기록'!$A:$A&lt;=$B$2))))))</f>
      </c>
      <c r="J43">
        <f>IF(H43="","",COUNTIFS('기록'!$C:$C,H43,'기록'!$A:$A,"&gt;="&amp;$B$1,'기록'!$A:$A,"&lt;="&amp;$B$2))</f>
      </c>
      <c r="K43">
        <f>IF(H43="","",_xlfn.TEXTJOIN(", ",TRUE,_xlfn.UNIQUE(_xlfn.FILTER('기록'!$A:$A,(('기록'!$C:$C=H43)*('기록'!$A:$A&gt;=$B$1)*('기록'!$A:$A&lt;=$B$2))))))</f>
      </c>
      <c r="L43">
        <f>IF(H43="","",I43)</f>
      </c>
    </row>
    <row r="44" spans="1:12" x14ac:dyDescent="0.25">
      <c r="A44">
        <f>IFERROR(INDEX($N$5:$Q$204,40,1),"")</f>
      </c>
      <c r="B44">
        <f>IFERROR(INDEX($N$5:$Q$204,40,2),"")</f>
      </c>
      <c r="C44">
        <f>IFERROR(INDEX($N$5:$Q$204,40,3),"")</f>
      </c>
      <c r="D44">
        <f>IFERROR(INDEX($N$5:$Q$204,40,4),"")</f>
      </c>
      <c r="H44">
        <f>IFERROR(INDEX(_xlfn.UNIQUE(_xlfn.FILTER('기록'!$C$2:$C$181,('기록'!$C$2:$C$181&lt;&gt;"")*('기록'!$A$2:$A$181&gt;=$B$1)*('기록'!$A$2:$A$181&lt;=$B$2))),40),"")</f>
      </c>
      <c r="I44">
        <f>IF(H44="","",COUNTA(_xlfn.UNIQUE(_xlfn.FILTER('기록'!$A:$A,(('기록'!$C:$C=H44)*('기록'!$A:$A&gt;=$B$1)*('기록'!$A:$A&lt;=$B$2))))))</f>
      </c>
      <c r="J44">
        <f>IF(H44="","",COUNTIFS('기록'!$C:$C,H44,'기록'!$A:$A,"&gt;="&amp;$B$1,'기록'!$A:$A,"&lt;="&amp;$B$2))</f>
      </c>
      <c r="K44">
        <f>IF(H44="","",_xlfn.TEXTJOIN(", ",TRUE,_xlfn.UNIQUE(_xlfn.FILTER('기록'!$A:$A,(('기록'!$C:$C=H44)*('기록'!$A:$A&gt;=$B$1)*('기록'!$A:$A&lt;=$B$2))))))</f>
      </c>
      <c r="L44">
        <f>IF(H44="","",I44)</f>
      </c>
    </row>
    <row r="45" spans="1:12" x14ac:dyDescent="0.25">
      <c r="A45">
        <f>IFERROR(INDEX($N$5:$Q$204,41,1),"")</f>
      </c>
      <c r="B45">
        <f>IFERROR(INDEX($N$5:$Q$204,41,2),"")</f>
      </c>
      <c r="C45">
        <f>IFERROR(INDEX($N$5:$Q$204,41,3),"")</f>
      </c>
      <c r="D45">
        <f>IFERROR(INDEX($N$5:$Q$204,41,4),"")</f>
      </c>
      <c r="H45">
        <f>IFERROR(INDEX(_xlfn.UNIQUE(_xlfn.FILTER('기록'!$C$2:$C$181,('기록'!$C$2:$C$181&lt;&gt;"")*('기록'!$A$2:$A$181&gt;=$B$1)*('기록'!$A$2:$A$181&lt;=$B$2))),41),"")</f>
      </c>
      <c r="I45">
        <f>IF(H45="","",COUNTA(_xlfn.UNIQUE(_xlfn.FILTER('기록'!$A:$A,(('기록'!$C:$C=H45)*('기록'!$A:$A&gt;=$B$1)*('기록'!$A:$A&lt;=$B$2))))))</f>
      </c>
      <c r="J45">
        <f>IF(H45="","",COUNTIFS('기록'!$C:$C,H45,'기록'!$A:$A,"&gt;="&amp;$B$1,'기록'!$A:$A,"&lt;="&amp;$B$2))</f>
      </c>
      <c r="K45">
        <f>IF(H45="","",_xlfn.TEXTJOIN(", ",TRUE,_xlfn.UNIQUE(_xlfn.FILTER('기록'!$A:$A,(('기록'!$C:$C=H45)*('기록'!$A:$A&gt;=$B$1)*('기록'!$A:$A&lt;=$B$2))))))</f>
      </c>
      <c r="L45">
        <f>IF(H45="","",I45)</f>
      </c>
    </row>
    <row r="46" spans="1:12" x14ac:dyDescent="0.25">
      <c r="A46">
        <f>IFERROR(INDEX($N$5:$Q$204,42,1),"")</f>
      </c>
      <c r="B46">
        <f>IFERROR(INDEX($N$5:$Q$204,42,2),"")</f>
      </c>
      <c r="C46">
        <f>IFERROR(INDEX($N$5:$Q$204,42,3),"")</f>
      </c>
      <c r="D46">
        <f>IFERROR(INDEX($N$5:$Q$204,42,4),"")</f>
      </c>
      <c r="H46">
        <f>IFERROR(INDEX(_xlfn.UNIQUE(_xlfn.FILTER('기록'!$C$2:$C$181,('기록'!$C$2:$C$181&lt;&gt;"")*('기록'!$A$2:$A$181&gt;=$B$1)*('기록'!$A$2:$A$181&lt;=$B$2))),42),"")</f>
      </c>
      <c r="I46">
        <f>IF(H46="","",COUNTA(_xlfn.UNIQUE(_xlfn.FILTER('기록'!$A:$A,(('기록'!$C:$C=H46)*('기록'!$A:$A&gt;=$B$1)*('기록'!$A:$A&lt;=$B$2))))))</f>
      </c>
      <c r="J46">
        <f>IF(H46="","",COUNTIFS('기록'!$C:$C,H46,'기록'!$A:$A,"&gt;="&amp;$B$1,'기록'!$A:$A,"&lt;="&amp;$B$2))</f>
      </c>
      <c r="K46">
        <f>IF(H46="","",_xlfn.TEXTJOIN(", ",TRUE,_xlfn.UNIQUE(_xlfn.FILTER('기록'!$A:$A,(('기록'!$C:$C=H46)*('기록'!$A:$A&gt;=$B$1)*('기록'!$A:$A&lt;=$B$2))))))</f>
      </c>
      <c r="L46">
        <f>IF(H46="","",I46)</f>
      </c>
    </row>
    <row r="47" spans="1:12" x14ac:dyDescent="0.25">
      <c r="A47">
        <f>IFERROR(INDEX($N$5:$Q$204,43,1),"")</f>
      </c>
      <c r="B47">
        <f>IFERROR(INDEX($N$5:$Q$204,43,2),"")</f>
      </c>
      <c r="C47">
        <f>IFERROR(INDEX($N$5:$Q$204,43,3),"")</f>
      </c>
      <c r="D47">
        <f>IFERROR(INDEX($N$5:$Q$204,43,4),"")</f>
      </c>
      <c r="H47">
        <f>IFERROR(INDEX(_xlfn.UNIQUE(_xlfn.FILTER('기록'!$C$2:$C$181,('기록'!$C$2:$C$181&lt;&gt;"")*('기록'!$A$2:$A$181&gt;=$B$1)*('기록'!$A$2:$A$181&lt;=$B$2))),43),"")</f>
      </c>
      <c r="I47">
        <f>IF(H47="","",COUNTA(_xlfn.UNIQUE(_xlfn.FILTER('기록'!$A:$A,(('기록'!$C:$C=H47)*('기록'!$A:$A&gt;=$B$1)*('기록'!$A:$A&lt;=$B$2))))))</f>
      </c>
      <c r="J47">
        <f>IF(H47="","",COUNTIFS('기록'!$C:$C,H47,'기록'!$A:$A,"&gt;="&amp;$B$1,'기록'!$A:$A,"&lt;="&amp;$B$2))</f>
      </c>
      <c r="K47">
        <f>IF(H47="","",_xlfn.TEXTJOIN(", ",TRUE,_xlfn.UNIQUE(_xlfn.FILTER('기록'!$A:$A,(('기록'!$C:$C=H47)*('기록'!$A:$A&gt;=$B$1)*('기록'!$A:$A&lt;=$B$2))))))</f>
      </c>
      <c r="L47">
        <f>IF(H47="","",I47)</f>
      </c>
    </row>
    <row r="48" spans="1:12" x14ac:dyDescent="0.25">
      <c r="A48">
        <f>IFERROR(INDEX($N$5:$Q$204,44,1),"")</f>
      </c>
      <c r="B48">
        <f>IFERROR(INDEX($N$5:$Q$204,44,2),"")</f>
      </c>
      <c r="C48">
        <f>IFERROR(INDEX($N$5:$Q$204,44,3),"")</f>
      </c>
      <c r="D48">
        <f>IFERROR(INDEX($N$5:$Q$204,44,4),"")</f>
      </c>
      <c r="H48">
        <f>IFERROR(INDEX(_xlfn.UNIQUE(_xlfn.FILTER('기록'!$C$2:$C$181,('기록'!$C$2:$C$181&lt;&gt;"")*('기록'!$A$2:$A$181&gt;=$B$1)*('기록'!$A$2:$A$181&lt;=$B$2))),44),"")</f>
      </c>
      <c r="I48">
        <f>IF(H48="","",COUNTA(_xlfn.UNIQUE(_xlfn.FILTER('기록'!$A:$A,(('기록'!$C:$C=H48)*('기록'!$A:$A&gt;=$B$1)*('기록'!$A:$A&lt;=$B$2))))))</f>
      </c>
      <c r="J48">
        <f>IF(H48="","",COUNTIFS('기록'!$C:$C,H48,'기록'!$A:$A,"&gt;="&amp;$B$1,'기록'!$A:$A,"&lt;="&amp;$B$2))</f>
      </c>
      <c r="K48">
        <f>IF(H48="","",_xlfn.TEXTJOIN(", ",TRUE,_xlfn.UNIQUE(_xlfn.FILTER('기록'!$A:$A,(('기록'!$C:$C=H48)*('기록'!$A:$A&gt;=$B$1)*('기록'!$A:$A&lt;=$B$2))))))</f>
      </c>
      <c r="L48">
        <f>IF(H48="","",I48)</f>
      </c>
    </row>
    <row r="49" spans="1:12" x14ac:dyDescent="0.25">
      <c r="A49">
        <f>IFERROR(INDEX($N$5:$Q$204,45,1),"")</f>
      </c>
      <c r="B49">
        <f>IFERROR(INDEX($N$5:$Q$204,45,2),"")</f>
      </c>
      <c r="C49">
        <f>IFERROR(INDEX($N$5:$Q$204,45,3),"")</f>
      </c>
      <c r="D49">
        <f>IFERROR(INDEX($N$5:$Q$204,45,4),"")</f>
      </c>
      <c r="H49">
        <f>IFERROR(INDEX(_xlfn.UNIQUE(_xlfn.FILTER('기록'!$C$2:$C$181,('기록'!$C$2:$C$181&lt;&gt;"")*('기록'!$A$2:$A$181&gt;=$B$1)*('기록'!$A$2:$A$181&lt;=$B$2))),45),"")</f>
      </c>
      <c r="I49">
        <f>IF(H49="","",COUNTA(_xlfn.UNIQUE(_xlfn.FILTER('기록'!$A:$A,(('기록'!$C:$C=H49)*('기록'!$A:$A&gt;=$B$1)*('기록'!$A:$A&lt;=$B$2))))))</f>
      </c>
      <c r="J49">
        <f>IF(H49="","",COUNTIFS('기록'!$C:$C,H49,'기록'!$A:$A,"&gt;="&amp;$B$1,'기록'!$A:$A,"&lt;="&amp;$B$2))</f>
      </c>
      <c r="K49">
        <f>IF(H49="","",_xlfn.TEXTJOIN(", ",TRUE,_xlfn.UNIQUE(_xlfn.FILTER('기록'!$A:$A,(('기록'!$C:$C=H49)*('기록'!$A:$A&gt;=$B$1)*('기록'!$A:$A&lt;=$B$2))))))</f>
      </c>
      <c r="L49">
        <f>IF(H49="","",I49)</f>
      </c>
    </row>
    <row r="50" spans="1:12" x14ac:dyDescent="0.25">
      <c r="A50">
        <f>IFERROR(INDEX($N$5:$Q$204,46,1),"")</f>
      </c>
      <c r="B50">
        <f>IFERROR(INDEX($N$5:$Q$204,46,2),"")</f>
      </c>
      <c r="C50">
        <f>IFERROR(INDEX($N$5:$Q$204,46,3),"")</f>
      </c>
      <c r="D50">
        <f>IFERROR(INDEX($N$5:$Q$204,46,4),"")</f>
      </c>
      <c r="H50">
        <f>IFERROR(INDEX(_xlfn.UNIQUE(_xlfn.FILTER('기록'!$C$2:$C$181,('기록'!$C$2:$C$181&lt;&gt;"")*('기록'!$A$2:$A$181&gt;=$B$1)*('기록'!$A$2:$A$181&lt;=$B$2))),46),"")</f>
      </c>
      <c r="I50">
        <f>IF(H50="","",COUNTA(_xlfn.UNIQUE(_xlfn.FILTER('기록'!$A:$A,(('기록'!$C:$C=H50)*('기록'!$A:$A&gt;=$B$1)*('기록'!$A:$A&lt;=$B$2))))))</f>
      </c>
      <c r="J50">
        <f>IF(H50="","",COUNTIFS('기록'!$C:$C,H50,'기록'!$A:$A,"&gt;="&amp;$B$1,'기록'!$A:$A,"&lt;="&amp;$B$2))</f>
      </c>
      <c r="K50">
        <f>IF(H50="","",_xlfn.TEXTJOIN(", ",TRUE,_xlfn.UNIQUE(_xlfn.FILTER('기록'!$A:$A,(('기록'!$C:$C=H50)*('기록'!$A:$A&gt;=$B$1)*('기록'!$A:$A&lt;=$B$2))))))</f>
      </c>
      <c r="L50">
        <f>IF(H50="","",I50)</f>
      </c>
    </row>
    <row r="51" spans="1:12" x14ac:dyDescent="0.25">
      <c r="A51">
        <f>IFERROR(INDEX($N$5:$Q$204,47,1),"")</f>
      </c>
      <c r="B51">
        <f>IFERROR(INDEX($N$5:$Q$204,47,2),"")</f>
      </c>
      <c r="C51">
        <f>IFERROR(INDEX($N$5:$Q$204,47,3),"")</f>
      </c>
      <c r="D51">
        <f>IFERROR(INDEX($N$5:$Q$204,47,4),"")</f>
      </c>
      <c r="H51">
        <f>IFERROR(INDEX(_xlfn.UNIQUE(_xlfn.FILTER('기록'!$C$2:$C$181,('기록'!$C$2:$C$181&lt;&gt;"")*('기록'!$A$2:$A$181&gt;=$B$1)*('기록'!$A$2:$A$181&lt;=$B$2))),47),"")</f>
      </c>
      <c r="I51">
        <f>IF(H51="","",COUNTA(_xlfn.UNIQUE(_xlfn.FILTER('기록'!$A:$A,(('기록'!$C:$C=H51)*('기록'!$A:$A&gt;=$B$1)*('기록'!$A:$A&lt;=$B$2))))))</f>
      </c>
      <c r="J51">
        <f>IF(H51="","",COUNTIFS('기록'!$C:$C,H51,'기록'!$A:$A,"&gt;="&amp;$B$1,'기록'!$A:$A,"&lt;="&amp;$B$2))</f>
      </c>
      <c r="K51">
        <f>IF(H51="","",_xlfn.TEXTJOIN(", ",TRUE,_xlfn.UNIQUE(_xlfn.FILTER('기록'!$A:$A,(('기록'!$C:$C=H51)*('기록'!$A:$A&gt;=$B$1)*('기록'!$A:$A&lt;=$B$2))))))</f>
      </c>
      <c r="L51">
        <f>IF(H51="","",I51)</f>
      </c>
    </row>
    <row r="52" spans="1:12" x14ac:dyDescent="0.25">
      <c r="A52">
        <f>IFERROR(INDEX($N$5:$Q$204,48,1),"")</f>
      </c>
      <c r="B52">
        <f>IFERROR(INDEX($N$5:$Q$204,48,2),"")</f>
      </c>
      <c r="C52">
        <f>IFERROR(INDEX($N$5:$Q$204,48,3),"")</f>
      </c>
      <c r="D52">
        <f>IFERROR(INDEX($N$5:$Q$204,48,4),"")</f>
      </c>
      <c r="H52">
        <f>IFERROR(INDEX(_xlfn.UNIQUE(_xlfn.FILTER('기록'!$C$2:$C$181,('기록'!$C$2:$C$181&lt;&gt;"")*('기록'!$A$2:$A$181&gt;=$B$1)*('기록'!$A$2:$A$181&lt;=$B$2))),48),"")</f>
      </c>
      <c r="I52">
        <f>IF(H52="","",COUNTA(_xlfn.UNIQUE(_xlfn.FILTER('기록'!$A:$A,(('기록'!$C:$C=H52)*('기록'!$A:$A&gt;=$B$1)*('기록'!$A:$A&lt;=$B$2))))))</f>
      </c>
      <c r="J52">
        <f>IF(H52="","",COUNTIFS('기록'!$C:$C,H52,'기록'!$A:$A,"&gt;="&amp;$B$1,'기록'!$A:$A,"&lt;="&amp;$B$2))</f>
      </c>
      <c r="K52">
        <f>IF(H52="","",_xlfn.TEXTJOIN(", ",TRUE,_xlfn.UNIQUE(_xlfn.FILTER('기록'!$A:$A,(('기록'!$C:$C=H52)*('기록'!$A:$A&gt;=$B$1)*('기록'!$A:$A&lt;=$B$2))))))</f>
      </c>
      <c r="L52">
        <f>IF(H52="","",I52)</f>
      </c>
    </row>
    <row r="53" spans="1:12" x14ac:dyDescent="0.25">
      <c r="A53">
        <f>IFERROR(INDEX($N$5:$Q$204,49,1),"")</f>
      </c>
      <c r="B53">
        <f>IFERROR(INDEX($N$5:$Q$204,49,2),"")</f>
      </c>
      <c r="C53">
        <f>IFERROR(INDEX($N$5:$Q$204,49,3),"")</f>
      </c>
      <c r="D53">
        <f>IFERROR(INDEX($N$5:$Q$204,49,4),"")</f>
      </c>
      <c r="H53">
        <f>IFERROR(INDEX(_xlfn.UNIQUE(_xlfn.FILTER('기록'!$C$2:$C$181,('기록'!$C$2:$C$181&lt;&gt;"")*('기록'!$A$2:$A$181&gt;=$B$1)*('기록'!$A$2:$A$181&lt;=$B$2))),49),"")</f>
      </c>
      <c r="I53">
        <f>IF(H53="","",COUNTA(_xlfn.UNIQUE(_xlfn.FILTER('기록'!$A:$A,(('기록'!$C:$C=H53)*('기록'!$A:$A&gt;=$B$1)*('기록'!$A:$A&lt;=$B$2))))))</f>
      </c>
      <c r="J53">
        <f>IF(H53="","",COUNTIFS('기록'!$C:$C,H53,'기록'!$A:$A,"&gt;="&amp;$B$1,'기록'!$A:$A,"&lt;="&amp;$B$2))</f>
      </c>
      <c r="K53">
        <f>IF(H53="","",_xlfn.TEXTJOIN(", ",TRUE,_xlfn.UNIQUE(_xlfn.FILTER('기록'!$A:$A,(('기록'!$C:$C=H53)*('기록'!$A:$A&gt;=$B$1)*('기록'!$A:$A&lt;=$B$2))))))</f>
      </c>
      <c r="L53">
        <f>IF(H53="","",I53)</f>
      </c>
    </row>
    <row r="54" spans="1:12" x14ac:dyDescent="0.25">
      <c r="A54">
        <f>IFERROR(INDEX($N$5:$Q$204,50,1),"")</f>
      </c>
      <c r="B54">
        <f>IFERROR(INDEX($N$5:$Q$204,50,2),"")</f>
      </c>
      <c r="C54">
        <f>IFERROR(INDEX($N$5:$Q$204,50,3),"")</f>
      </c>
      <c r="D54">
        <f>IFERROR(INDEX($N$5:$Q$204,50,4),"")</f>
      </c>
      <c r="H54">
        <f>IFERROR(INDEX(_xlfn.UNIQUE(_xlfn.FILTER('기록'!$C$2:$C$181,('기록'!$C$2:$C$181&lt;&gt;"")*('기록'!$A$2:$A$181&gt;=$B$1)*('기록'!$A$2:$A$181&lt;=$B$2))),50),"")</f>
      </c>
      <c r="I54">
        <f>IF(H54="","",COUNTA(_xlfn.UNIQUE(_xlfn.FILTER('기록'!$A:$A,(('기록'!$C:$C=H54)*('기록'!$A:$A&gt;=$B$1)*('기록'!$A:$A&lt;=$B$2))))))</f>
      </c>
      <c r="J54">
        <f>IF(H54="","",COUNTIFS('기록'!$C:$C,H54,'기록'!$A:$A,"&gt;="&amp;$B$1,'기록'!$A:$A,"&lt;="&amp;$B$2))</f>
      </c>
      <c r="K54">
        <f>IF(H54="","",_xlfn.TEXTJOIN(", ",TRUE,_xlfn.UNIQUE(_xlfn.FILTER('기록'!$A:$A,(('기록'!$C:$C=H54)*('기록'!$A:$A&gt;=$B$1)*('기록'!$A:$A&lt;=$B$2))))))</f>
      </c>
      <c r="L54">
        <f>IF(H54="","",I54)</f>
      </c>
    </row>
    <row r="55" spans="1:12" x14ac:dyDescent="0.25">
      <c r="A55">
        <f>IFERROR(INDEX($N$5:$Q$204,51,1),"")</f>
      </c>
      <c r="B55">
        <f>IFERROR(INDEX($N$5:$Q$204,51,2),"")</f>
      </c>
      <c r="C55">
        <f>IFERROR(INDEX($N$5:$Q$204,51,3),"")</f>
      </c>
      <c r="D55">
        <f>IFERROR(INDEX($N$5:$Q$204,51,4),"")</f>
      </c>
      <c r="H55">
        <f>IFERROR(INDEX(_xlfn.UNIQUE(_xlfn.FILTER('기록'!$C$2:$C$181,('기록'!$C$2:$C$181&lt;&gt;"")*('기록'!$A$2:$A$181&gt;=$B$1)*('기록'!$A$2:$A$181&lt;=$B$2))),51),"")</f>
      </c>
      <c r="I55">
        <f>IF(H55="","",COUNTA(_xlfn.UNIQUE(_xlfn.FILTER('기록'!$A:$A,(('기록'!$C:$C=H55)*('기록'!$A:$A&gt;=$B$1)*('기록'!$A:$A&lt;=$B$2))))))</f>
      </c>
      <c r="J55">
        <f>IF(H55="","",COUNTIFS('기록'!$C:$C,H55,'기록'!$A:$A,"&gt;="&amp;$B$1,'기록'!$A:$A,"&lt;="&amp;$B$2))</f>
      </c>
      <c r="K55">
        <f>IF(H55="","",_xlfn.TEXTJOIN(", ",TRUE,_xlfn.UNIQUE(_xlfn.FILTER('기록'!$A:$A,(('기록'!$C:$C=H55)*('기록'!$A:$A&gt;=$B$1)*('기록'!$A:$A&lt;=$B$2))))))</f>
      </c>
      <c r="L55">
        <f>IF(H55="","",I55)</f>
      </c>
    </row>
    <row r="56" spans="1:12" x14ac:dyDescent="0.25">
      <c r="A56">
        <f>IFERROR(INDEX($N$5:$Q$204,52,1),"")</f>
      </c>
      <c r="B56">
        <f>IFERROR(INDEX($N$5:$Q$204,52,2),"")</f>
      </c>
      <c r="C56">
        <f>IFERROR(INDEX($N$5:$Q$204,52,3),"")</f>
      </c>
      <c r="D56">
        <f>IFERROR(INDEX($N$5:$Q$204,52,4),"")</f>
      </c>
      <c r="H56">
        <f>IFERROR(INDEX(_xlfn.UNIQUE(_xlfn.FILTER('기록'!$C$2:$C$181,('기록'!$C$2:$C$181&lt;&gt;"")*('기록'!$A$2:$A$181&gt;=$B$1)*('기록'!$A$2:$A$181&lt;=$B$2))),52),"")</f>
      </c>
      <c r="I56">
        <f>IF(H56="","",COUNTA(_xlfn.UNIQUE(_xlfn.FILTER('기록'!$A:$A,(('기록'!$C:$C=H56)*('기록'!$A:$A&gt;=$B$1)*('기록'!$A:$A&lt;=$B$2))))))</f>
      </c>
      <c r="J56">
        <f>IF(H56="","",COUNTIFS('기록'!$C:$C,H56,'기록'!$A:$A,"&gt;="&amp;$B$1,'기록'!$A:$A,"&lt;="&amp;$B$2))</f>
      </c>
      <c r="K56">
        <f>IF(H56="","",_xlfn.TEXTJOIN(", ",TRUE,_xlfn.UNIQUE(_xlfn.FILTER('기록'!$A:$A,(('기록'!$C:$C=H56)*('기록'!$A:$A&gt;=$B$1)*('기록'!$A:$A&lt;=$B$2))))))</f>
      </c>
      <c r="L56">
        <f>IF(H56="","",I56)</f>
      </c>
    </row>
    <row r="57" spans="1:12" x14ac:dyDescent="0.25">
      <c r="A57">
        <f>IFERROR(INDEX($N$5:$Q$204,53,1),"")</f>
      </c>
      <c r="B57">
        <f>IFERROR(INDEX($N$5:$Q$204,53,2),"")</f>
      </c>
      <c r="C57">
        <f>IFERROR(INDEX($N$5:$Q$204,53,3),"")</f>
      </c>
      <c r="D57">
        <f>IFERROR(INDEX($N$5:$Q$204,53,4),"")</f>
      </c>
      <c r="H57">
        <f>IFERROR(INDEX(_xlfn.UNIQUE(_xlfn.FILTER('기록'!$C$2:$C$181,('기록'!$C$2:$C$181&lt;&gt;"")*('기록'!$A$2:$A$181&gt;=$B$1)*('기록'!$A$2:$A$181&lt;=$B$2))),53),"")</f>
      </c>
      <c r="I57">
        <f>IF(H57="","",COUNTA(_xlfn.UNIQUE(_xlfn.FILTER('기록'!$A:$A,(('기록'!$C:$C=H57)*('기록'!$A:$A&gt;=$B$1)*('기록'!$A:$A&lt;=$B$2))))))</f>
      </c>
      <c r="J57">
        <f>IF(H57="","",COUNTIFS('기록'!$C:$C,H57,'기록'!$A:$A,"&gt;="&amp;$B$1,'기록'!$A:$A,"&lt;="&amp;$B$2))</f>
      </c>
      <c r="K57">
        <f>IF(H57="","",_xlfn.TEXTJOIN(", ",TRUE,_xlfn.UNIQUE(_xlfn.FILTER('기록'!$A:$A,(('기록'!$C:$C=H57)*('기록'!$A:$A&gt;=$B$1)*('기록'!$A:$A&lt;=$B$2))))))</f>
      </c>
      <c r="L57">
        <f>IF(H57="","",I57)</f>
      </c>
    </row>
    <row r="58" spans="1:12" x14ac:dyDescent="0.25">
      <c r="A58">
        <f>IFERROR(INDEX($N$5:$Q$204,54,1),"")</f>
      </c>
      <c r="B58">
        <f>IFERROR(INDEX($N$5:$Q$204,54,2),"")</f>
      </c>
      <c r="C58">
        <f>IFERROR(INDEX($N$5:$Q$204,54,3),"")</f>
      </c>
      <c r="D58">
        <f>IFERROR(INDEX($N$5:$Q$204,54,4),"")</f>
      </c>
      <c r="H58">
        <f>IFERROR(INDEX(_xlfn.UNIQUE(_xlfn.FILTER('기록'!$C$2:$C$181,('기록'!$C$2:$C$181&lt;&gt;"")*('기록'!$A$2:$A$181&gt;=$B$1)*('기록'!$A$2:$A$181&lt;=$B$2))),54),"")</f>
      </c>
      <c r="I58">
        <f>IF(H58="","",COUNTA(_xlfn.UNIQUE(_xlfn.FILTER('기록'!$A:$A,(('기록'!$C:$C=H58)*('기록'!$A:$A&gt;=$B$1)*('기록'!$A:$A&lt;=$B$2))))))</f>
      </c>
      <c r="J58">
        <f>IF(H58="","",COUNTIFS('기록'!$C:$C,H58,'기록'!$A:$A,"&gt;="&amp;$B$1,'기록'!$A:$A,"&lt;="&amp;$B$2))</f>
      </c>
      <c r="K58">
        <f>IF(H58="","",_xlfn.TEXTJOIN(", ",TRUE,_xlfn.UNIQUE(_xlfn.FILTER('기록'!$A:$A,(('기록'!$C:$C=H58)*('기록'!$A:$A&gt;=$B$1)*('기록'!$A:$A&lt;=$B$2))))))</f>
      </c>
      <c r="L58">
        <f>IF(H58="","",I58)</f>
      </c>
    </row>
    <row r="59" spans="1:12" x14ac:dyDescent="0.25">
      <c r="A59">
        <f>IFERROR(INDEX($N$5:$Q$204,55,1),"")</f>
      </c>
      <c r="B59">
        <f>IFERROR(INDEX($N$5:$Q$204,55,2),"")</f>
      </c>
      <c r="C59">
        <f>IFERROR(INDEX($N$5:$Q$204,55,3),"")</f>
      </c>
      <c r="D59">
        <f>IFERROR(INDEX($N$5:$Q$204,55,4),"")</f>
      </c>
      <c r="H59">
        <f>IFERROR(INDEX(_xlfn.UNIQUE(_xlfn.FILTER('기록'!$C$2:$C$181,('기록'!$C$2:$C$181&lt;&gt;"")*('기록'!$A$2:$A$181&gt;=$B$1)*('기록'!$A$2:$A$181&lt;=$B$2))),55),"")</f>
      </c>
      <c r="I59">
        <f>IF(H59="","",COUNTA(_xlfn.UNIQUE(_xlfn.FILTER('기록'!$A:$A,(('기록'!$C:$C=H59)*('기록'!$A:$A&gt;=$B$1)*('기록'!$A:$A&lt;=$B$2))))))</f>
      </c>
      <c r="J59">
        <f>IF(H59="","",COUNTIFS('기록'!$C:$C,H59,'기록'!$A:$A,"&gt;="&amp;$B$1,'기록'!$A:$A,"&lt;="&amp;$B$2))</f>
      </c>
      <c r="K59">
        <f>IF(H59="","",_xlfn.TEXTJOIN(", ",TRUE,_xlfn.UNIQUE(_xlfn.FILTER('기록'!$A:$A,(('기록'!$C:$C=H59)*('기록'!$A:$A&gt;=$B$1)*('기록'!$A:$A&lt;=$B$2))))))</f>
      </c>
      <c r="L59">
        <f>IF(H59="","",I59)</f>
      </c>
    </row>
    <row r="60" spans="1:12" x14ac:dyDescent="0.25">
      <c r="A60">
        <f>IFERROR(INDEX($N$5:$Q$204,56,1),"")</f>
      </c>
      <c r="B60">
        <f>IFERROR(INDEX($N$5:$Q$204,56,2),"")</f>
      </c>
      <c r="C60">
        <f>IFERROR(INDEX($N$5:$Q$204,56,3),"")</f>
      </c>
      <c r="D60">
        <f>IFERROR(INDEX($N$5:$Q$204,56,4),"")</f>
      </c>
      <c r="H60">
        <f>IFERROR(INDEX(_xlfn.UNIQUE(_xlfn.FILTER('기록'!$C$2:$C$181,('기록'!$C$2:$C$181&lt;&gt;"")*('기록'!$A$2:$A$181&gt;=$B$1)*('기록'!$A$2:$A$181&lt;=$B$2))),56),"")</f>
      </c>
      <c r="I60">
        <f>IF(H60="","",COUNTA(_xlfn.UNIQUE(_xlfn.FILTER('기록'!$A:$A,(('기록'!$C:$C=H60)*('기록'!$A:$A&gt;=$B$1)*('기록'!$A:$A&lt;=$B$2))))))</f>
      </c>
      <c r="J60">
        <f>IF(H60="","",COUNTIFS('기록'!$C:$C,H60,'기록'!$A:$A,"&gt;="&amp;$B$1,'기록'!$A:$A,"&lt;="&amp;$B$2))</f>
      </c>
      <c r="K60">
        <f>IF(H60="","",_xlfn.TEXTJOIN(", ",TRUE,_xlfn.UNIQUE(_xlfn.FILTER('기록'!$A:$A,(('기록'!$C:$C=H60)*('기록'!$A:$A&gt;=$B$1)*('기록'!$A:$A&lt;=$B$2))))))</f>
      </c>
      <c r="L60">
        <f>IF(H60="","",I60)</f>
      </c>
    </row>
    <row r="61" spans="1:12" x14ac:dyDescent="0.25">
      <c r="A61">
        <f>IFERROR(INDEX($N$5:$Q$204,57,1),"")</f>
      </c>
      <c r="B61">
        <f>IFERROR(INDEX($N$5:$Q$204,57,2),"")</f>
      </c>
      <c r="C61">
        <f>IFERROR(INDEX($N$5:$Q$204,57,3),"")</f>
      </c>
      <c r="D61">
        <f>IFERROR(INDEX($N$5:$Q$204,57,4),"")</f>
      </c>
      <c r="H61">
        <f>IFERROR(INDEX(_xlfn.UNIQUE(_xlfn.FILTER('기록'!$C$2:$C$181,('기록'!$C$2:$C$181&lt;&gt;"")*('기록'!$A$2:$A$181&gt;=$B$1)*('기록'!$A$2:$A$181&lt;=$B$2))),57),"")</f>
      </c>
      <c r="I61">
        <f>IF(H61="","",COUNTA(_xlfn.UNIQUE(_xlfn.FILTER('기록'!$A:$A,(('기록'!$C:$C=H61)*('기록'!$A:$A&gt;=$B$1)*('기록'!$A:$A&lt;=$B$2))))))</f>
      </c>
      <c r="J61">
        <f>IF(H61="","",COUNTIFS('기록'!$C:$C,H61,'기록'!$A:$A,"&gt;="&amp;$B$1,'기록'!$A:$A,"&lt;="&amp;$B$2))</f>
      </c>
      <c r="K61">
        <f>IF(H61="","",_xlfn.TEXTJOIN(", ",TRUE,_xlfn.UNIQUE(_xlfn.FILTER('기록'!$A:$A,(('기록'!$C:$C=H61)*('기록'!$A:$A&gt;=$B$1)*('기록'!$A:$A&lt;=$B$2))))))</f>
      </c>
      <c r="L61">
        <f>IF(H61="","",I61)</f>
      </c>
    </row>
    <row r="62" spans="1:12" x14ac:dyDescent="0.25">
      <c r="A62">
        <f>IFERROR(INDEX($N$5:$Q$204,58,1),"")</f>
      </c>
      <c r="B62">
        <f>IFERROR(INDEX($N$5:$Q$204,58,2),"")</f>
      </c>
      <c r="C62">
        <f>IFERROR(INDEX($N$5:$Q$204,58,3),"")</f>
      </c>
      <c r="D62">
        <f>IFERROR(INDEX($N$5:$Q$204,58,4),"")</f>
      </c>
      <c r="H62">
        <f>IFERROR(INDEX(_xlfn.UNIQUE(_xlfn.FILTER('기록'!$C$2:$C$181,('기록'!$C$2:$C$181&lt;&gt;"")*('기록'!$A$2:$A$181&gt;=$B$1)*('기록'!$A$2:$A$181&lt;=$B$2))),58),"")</f>
      </c>
      <c r="I62">
        <f>IF(H62="","",COUNTA(_xlfn.UNIQUE(_xlfn.FILTER('기록'!$A:$A,(('기록'!$C:$C=H62)*('기록'!$A:$A&gt;=$B$1)*('기록'!$A:$A&lt;=$B$2))))))</f>
      </c>
      <c r="J62">
        <f>IF(H62="","",COUNTIFS('기록'!$C:$C,H62,'기록'!$A:$A,"&gt;="&amp;$B$1,'기록'!$A:$A,"&lt;="&amp;$B$2))</f>
      </c>
      <c r="K62">
        <f>IF(H62="","",_xlfn.TEXTJOIN(", ",TRUE,_xlfn.UNIQUE(_xlfn.FILTER('기록'!$A:$A,(('기록'!$C:$C=H62)*('기록'!$A:$A&gt;=$B$1)*('기록'!$A:$A&lt;=$B$2))))))</f>
      </c>
      <c r="L62">
        <f>IF(H62="","",I62)</f>
      </c>
    </row>
    <row r="63" spans="1:12" x14ac:dyDescent="0.25">
      <c r="A63">
        <f>IFERROR(INDEX($N$5:$Q$204,59,1),"")</f>
      </c>
      <c r="B63">
        <f>IFERROR(INDEX($N$5:$Q$204,59,2),"")</f>
      </c>
      <c r="C63">
        <f>IFERROR(INDEX($N$5:$Q$204,59,3),"")</f>
      </c>
      <c r="D63">
        <f>IFERROR(INDEX($N$5:$Q$204,59,4),"")</f>
      </c>
      <c r="H63">
        <f>IFERROR(INDEX(_xlfn.UNIQUE(_xlfn.FILTER('기록'!$C$2:$C$181,('기록'!$C$2:$C$181&lt;&gt;"")*('기록'!$A$2:$A$181&gt;=$B$1)*('기록'!$A$2:$A$181&lt;=$B$2))),59),"")</f>
      </c>
      <c r="I63">
        <f>IF(H63="","",COUNTA(_xlfn.UNIQUE(_xlfn.FILTER('기록'!$A:$A,(('기록'!$C:$C=H63)*('기록'!$A:$A&gt;=$B$1)*('기록'!$A:$A&lt;=$B$2))))))</f>
      </c>
      <c r="J63">
        <f>IF(H63="","",COUNTIFS('기록'!$C:$C,H63,'기록'!$A:$A,"&gt;="&amp;$B$1,'기록'!$A:$A,"&lt;="&amp;$B$2))</f>
      </c>
      <c r="K63">
        <f>IF(H63="","",_xlfn.TEXTJOIN(", ",TRUE,_xlfn.UNIQUE(_xlfn.FILTER('기록'!$A:$A,(('기록'!$C:$C=H63)*('기록'!$A:$A&gt;=$B$1)*('기록'!$A:$A&lt;=$B$2))))))</f>
      </c>
      <c r="L63">
        <f>IF(H63="","",I63)</f>
      </c>
    </row>
    <row r="64" spans="1:12" x14ac:dyDescent="0.25">
      <c r="A64">
        <f>IFERROR(INDEX($N$5:$Q$204,60,1),"")</f>
      </c>
      <c r="B64">
        <f>IFERROR(INDEX($N$5:$Q$204,60,2),"")</f>
      </c>
      <c r="C64">
        <f>IFERROR(INDEX($N$5:$Q$204,60,3),"")</f>
      </c>
      <c r="D64">
        <f>IFERROR(INDEX($N$5:$Q$204,60,4),"")</f>
      </c>
      <c r="H64">
        <f>IFERROR(INDEX(_xlfn.UNIQUE(_xlfn.FILTER('기록'!$C$2:$C$181,('기록'!$C$2:$C$181&lt;&gt;"")*('기록'!$A$2:$A$181&gt;=$B$1)*('기록'!$A$2:$A$181&lt;=$B$2))),60),"")</f>
      </c>
      <c r="I64">
        <f>IF(H64="","",COUNTA(_xlfn.UNIQUE(_xlfn.FILTER('기록'!$A:$A,(('기록'!$C:$C=H64)*('기록'!$A:$A&gt;=$B$1)*('기록'!$A:$A&lt;=$B$2))))))</f>
      </c>
      <c r="J64">
        <f>IF(H64="","",COUNTIFS('기록'!$C:$C,H64,'기록'!$A:$A,"&gt;="&amp;$B$1,'기록'!$A:$A,"&lt;="&amp;$B$2))</f>
      </c>
      <c r="K64">
        <f>IF(H64="","",_xlfn.TEXTJOIN(", ",TRUE,_xlfn.UNIQUE(_xlfn.FILTER('기록'!$A:$A,(('기록'!$C:$C=H64)*('기록'!$A:$A&gt;=$B$1)*('기록'!$A:$A&lt;=$B$2))))))</f>
      </c>
      <c r="L64">
        <f>IF(H64="","",I64)</f>
      </c>
    </row>
    <row r="65" spans="1:12" x14ac:dyDescent="0.25">
      <c r="A65">
        <f>IFERROR(INDEX($N$5:$Q$204,61,1),"")</f>
      </c>
      <c r="B65">
        <f>IFERROR(INDEX($N$5:$Q$204,61,2),"")</f>
      </c>
      <c r="C65">
        <f>IFERROR(INDEX($N$5:$Q$204,61,3),"")</f>
      </c>
      <c r="D65">
        <f>IFERROR(INDEX($N$5:$Q$204,61,4),"")</f>
      </c>
      <c r="H65">
        <f>IFERROR(INDEX(_xlfn.UNIQUE(_xlfn.FILTER('기록'!$C$2:$C$181,('기록'!$C$2:$C$181&lt;&gt;"")*('기록'!$A$2:$A$181&gt;=$B$1)*('기록'!$A$2:$A$181&lt;=$B$2))),61),"")</f>
      </c>
      <c r="I65">
        <f>IF(H65="","",COUNTA(_xlfn.UNIQUE(_xlfn.FILTER('기록'!$A:$A,(('기록'!$C:$C=H65)*('기록'!$A:$A&gt;=$B$1)*('기록'!$A:$A&lt;=$B$2))))))</f>
      </c>
      <c r="J65">
        <f>IF(H65="","",COUNTIFS('기록'!$C:$C,H65,'기록'!$A:$A,"&gt;="&amp;$B$1,'기록'!$A:$A,"&lt;="&amp;$B$2))</f>
      </c>
      <c r="K65">
        <f>IF(H65="","",_xlfn.TEXTJOIN(", ",TRUE,_xlfn.UNIQUE(_xlfn.FILTER('기록'!$A:$A,(('기록'!$C:$C=H65)*('기록'!$A:$A&gt;=$B$1)*('기록'!$A:$A&lt;=$B$2))))))</f>
      </c>
      <c r="L65">
        <f>IF(H65="","",I65)</f>
      </c>
    </row>
    <row r="66" spans="1:12" x14ac:dyDescent="0.25">
      <c r="A66">
        <f>IFERROR(INDEX($N$5:$Q$204,62,1),"")</f>
      </c>
      <c r="B66">
        <f>IFERROR(INDEX($N$5:$Q$204,62,2),"")</f>
      </c>
      <c r="C66">
        <f>IFERROR(INDEX($N$5:$Q$204,62,3),"")</f>
      </c>
      <c r="D66">
        <f>IFERROR(INDEX($N$5:$Q$204,62,4),"")</f>
      </c>
      <c r="H66">
        <f>IFERROR(INDEX(_xlfn.UNIQUE(_xlfn.FILTER('기록'!$C$2:$C$181,('기록'!$C$2:$C$181&lt;&gt;"")*('기록'!$A$2:$A$181&gt;=$B$1)*('기록'!$A$2:$A$181&lt;=$B$2))),62),"")</f>
      </c>
      <c r="I66">
        <f>IF(H66="","",COUNTA(_xlfn.UNIQUE(_xlfn.FILTER('기록'!$A:$A,(('기록'!$C:$C=H66)*('기록'!$A:$A&gt;=$B$1)*('기록'!$A:$A&lt;=$B$2))))))</f>
      </c>
      <c r="J66">
        <f>IF(H66="","",COUNTIFS('기록'!$C:$C,H66,'기록'!$A:$A,"&gt;="&amp;$B$1,'기록'!$A:$A,"&lt;="&amp;$B$2))</f>
      </c>
      <c r="K66">
        <f>IF(H66="","",_xlfn.TEXTJOIN(", ",TRUE,_xlfn.UNIQUE(_xlfn.FILTER('기록'!$A:$A,(('기록'!$C:$C=H66)*('기록'!$A:$A&gt;=$B$1)*('기록'!$A:$A&lt;=$B$2))))))</f>
      </c>
      <c r="L66">
        <f>IF(H66="","",I66)</f>
      </c>
    </row>
    <row r="67" spans="1:12" x14ac:dyDescent="0.25">
      <c r="A67">
        <f>IFERROR(INDEX($N$5:$Q$204,63,1),"")</f>
      </c>
      <c r="B67">
        <f>IFERROR(INDEX($N$5:$Q$204,63,2),"")</f>
      </c>
      <c r="C67">
        <f>IFERROR(INDEX($N$5:$Q$204,63,3),"")</f>
      </c>
      <c r="D67">
        <f>IFERROR(INDEX($N$5:$Q$204,63,4),"")</f>
      </c>
      <c r="H67">
        <f>IFERROR(INDEX(_xlfn.UNIQUE(_xlfn.FILTER('기록'!$C$2:$C$181,('기록'!$C$2:$C$181&lt;&gt;"")*('기록'!$A$2:$A$181&gt;=$B$1)*('기록'!$A$2:$A$181&lt;=$B$2))),63),"")</f>
      </c>
      <c r="I67">
        <f>IF(H67="","",COUNTA(_xlfn.UNIQUE(_xlfn.FILTER('기록'!$A:$A,(('기록'!$C:$C=H67)*('기록'!$A:$A&gt;=$B$1)*('기록'!$A:$A&lt;=$B$2))))))</f>
      </c>
      <c r="J67">
        <f>IF(H67="","",COUNTIFS('기록'!$C:$C,H67,'기록'!$A:$A,"&gt;="&amp;$B$1,'기록'!$A:$A,"&lt;="&amp;$B$2))</f>
      </c>
      <c r="K67">
        <f>IF(H67="","",_xlfn.TEXTJOIN(", ",TRUE,_xlfn.UNIQUE(_xlfn.FILTER('기록'!$A:$A,(('기록'!$C:$C=H67)*('기록'!$A:$A&gt;=$B$1)*('기록'!$A:$A&lt;=$B$2))))))</f>
      </c>
      <c r="L67">
        <f>IF(H67="","",I67)</f>
      </c>
    </row>
    <row r="68" spans="1:12" x14ac:dyDescent="0.25">
      <c r="A68">
        <f>IFERROR(INDEX($N$5:$Q$204,64,1),"")</f>
      </c>
      <c r="B68">
        <f>IFERROR(INDEX($N$5:$Q$204,64,2),"")</f>
      </c>
      <c r="C68">
        <f>IFERROR(INDEX($N$5:$Q$204,64,3),"")</f>
      </c>
      <c r="D68">
        <f>IFERROR(INDEX($N$5:$Q$204,64,4),"")</f>
      </c>
      <c r="H68">
        <f>IFERROR(INDEX(_xlfn.UNIQUE(_xlfn.FILTER('기록'!$C$2:$C$181,('기록'!$C$2:$C$181&lt;&gt;"")*('기록'!$A$2:$A$181&gt;=$B$1)*('기록'!$A$2:$A$181&lt;=$B$2))),64),"")</f>
      </c>
      <c r="I68">
        <f>IF(H68="","",COUNTA(_xlfn.UNIQUE(_xlfn.FILTER('기록'!$A:$A,(('기록'!$C:$C=H68)*('기록'!$A:$A&gt;=$B$1)*('기록'!$A:$A&lt;=$B$2))))))</f>
      </c>
      <c r="J68">
        <f>IF(H68="","",COUNTIFS('기록'!$C:$C,H68,'기록'!$A:$A,"&gt;="&amp;$B$1,'기록'!$A:$A,"&lt;="&amp;$B$2))</f>
      </c>
      <c r="K68">
        <f>IF(H68="","",_xlfn.TEXTJOIN(", ",TRUE,_xlfn.UNIQUE(_xlfn.FILTER('기록'!$A:$A,(('기록'!$C:$C=H68)*('기록'!$A:$A&gt;=$B$1)*('기록'!$A:$A&lt;=$B$2))))))</f>
      </c>
      <c r="L68">
        <f>IF(H68="","",I68)</f>
      </c>
    </row>
    <row r="69" spans="1:12" x14ac:dyDescent="0.25">
      <c r="A69">
        <f>IFERROR(INDEX($N$5:$Q$204,65,1),"")</f>
      </c>
      <c r="B69">
        <f>IFERROR(INDEX($N$5:$Q$204,65,2),"")</f>
      </c>
      <c r="C69">
        <f>IFERROR(INDEX($N$5:$Q$204,65,3),"")</f>
      </c>
      <c r="D69">
        <f>IFERROR(INDEX($N$5:$Q$204,65,4),"")</f>
      </c>
      <c r="H69">
        <f>IFERROR(INDEX(_xlfn.UNIQUE(_xlfn.FILTER('기록'!$C$2:$C$181,('기록'!$C$2:$C$181&lt;&gt;"")*('기록'!$A$2:$A$181&gt;=$B$1)*('기록'!$A$2:$A$181&lt;=$B$2))),65),"")</f>
      </c>
      <c r="I69">
        <f>IF(H69="","",COUNTA(_xlfn.UNIQUE(_xlfn.FILTER('기록'!$A:$A,(('기록'!$C:$C=H69)*('기록'!$A:$A&gt;=$B$1)*('기록'!$A:$A&lt;=$B$2))))))</f>
      </c>
      <c r="J69">
        <f>IF(H69="","",COUNTIFS('기록'!$C:$C,H69,'기록'!$A:$A,"&gt;="&amp;$B$1,'기록'!$A:$A,"&lt;="&amp;$B$2))</f>
      </c>
      <c r="K69">
        <f>IF(H69="","",_xlfn.TEXTJOIN(", ",TRUE,_xlfn.UNIQUE(_xlfn.FILTER('기록'!$A:$A,(('기록'!$C:$C=H69)*('기록'!$A:$A&gt;=$B$1)*('기록'!$A:$A&lt;=$B$2))))))</f>
      </c>
      <c r="L69">
        <f>IF(H69="","",I69)</f>
      </c>
    </row>
    <row r="70" spans="1:12" x14ac:dyDescent="0.25">
      <c r="A70">
        <f>IFERROR(INDEX($N$5:$Q$204,66,1),"")</f>
      </c>
      <c r="B70">
        <f>IFERROR(INDEX($N$5:$Q$204,66,2),"")</f>
      </c>
      <c r="C70">
        <f>IFERROR(INDEX($N$5:$Q$204,66,3),"")</f>
      </c>
      <c r="D70">
        <f>IFERROR(INDEX($N$5:$Q$204,66,4),"")</f>
      </c>
      <c r="H70">
        <f>IFERROR(INDEX(_xlfn.UNIQUE(_xlfn.FILTER('기록'!$C$2:$C$181,('기록'!$C$2:$C$181&lt;&gt;"")*('기록'!$A$2:$A$181&gt;=$B$1)*('기록'!$A$2:$A$181&lt;=$B$2))),66),"")</f>
      </c>
      <c r="I70">
        <f>IF(H70="","",COUNTA(_xlfn.UNIQUE(_xlfn.FILTER('기록'!$A:$A,(('기록'!$C:$C=H70)*('기록'!$A:$A&gt;=$B$1)*('기록'!$A:$A&lt;=$B$2))))))</f>
      </c>
      <c r="J70">
        <f>IF(H70="","",COUNTIFS('기록'!$C:$C,H70,'기록'!$A:$A,"&gt;="&amp;$B$1,'기록'!$A:$A,"&lt;="&amp;$B$2))</f>
      </c>
      <c r="K70">
        <f>IF(H70="","",_xlfn.TEXTJOIN(", ",TRUE,_xlfn.UNIQUE(_xlfn.FILTER('기록'!$A:$A,(('기록'!$C:$C=H70)*('기록'!$A:$A&gt;=$B$1)*('기록'!$A:$A&lt;=$B$2))))))</f>
      </c>
      <c r="L70">
        <f>IF(H70="","",I70)</f>
      </c>
    </row>
    <row r="71" spans="1:12" x14ac:dyDescent="0.25">
      <c r="A71">
        <f>IFERROR(INDEX($N$5:$Q$204,67,1),"")</f>
      </c>
      <c r="B71">
        <f>IFERROR(INDEX($N$5:$Q$204,67,2),"")</f>
      </c>
      <c r="C71">
        <f>IFERROR(INDEX($N$5:$Q$204,67,3),"")</f>
      </c>
      <c r="D71">
        <f>IFERROR(INDEX($N$5:$Q$204,67,4),"")</f>
      </c>
      <c r="H71">
        <f>IFERROR(INDEX(_xlfn.UNIQUE(_xlfn.FILTER('기록'!$C$2:$C$181,('기록'!$C$2:$C$181&lt;&gt;"")*('기록'!$A$2:$A$181&gt;=$B$1)*('기록'!$A$2:$A$181&lt;=$B$2))),67),"")</f>
      </c>
      <c r="I71">
        <f>IF(H71="","",COUNTA(_xlfn.UNIQUE(_xlfn.FILTER('기록'!$A:$A,(('기록'!$C:$C=H71)*('기록'!$A:$A&gt;=$B$1)*('기록'!$A:$A&lt;=$B$2))))))</f>
      </c>
      <c r="J71">
        <f>IF(H71="","",COUNTIFS('기록'!$C:$C,H71,'기록'!$A:$A,"&gt;="&amp;$B$1,'기록'!$A:$A,"&lt;="&amp;$B$2))</f>
      </c>
      <c r="K71">
        <f>IF(H71="","",_xlfn.TEXTJOIN(", ",TRUE,_xlfn.UNIQUE(_xlfn.FILTER('기록'!$A:$A,(('기록'!$C:$C=H71)*('기록'!$A:$A&gt;=$B$1)*('기록'!$A:$A&lt;=$B$2))))))</f>
      </c>
      <c r="L71">
        <f>IF(H71="","",I71)</f>
      </c>
    </row>
    <row r="72" spans="1:12" x14ac:dyDescent="0.25">
      <c r="A72">
        <f>IFERROR(INDEX($N$5:$Q$204,68,1),"")</f>
      </c>
      <c r="B72">
        <f>IFERROR(INDEX($N$5:$Q$204,68,2),"")</f>
      </c>
      <c r="C72">
        <f>IFERROR(INDEX($N$5:$Q$204,68,3),"")</f>
      </c>
      <c r="D72">
        <f>IFERROR(INDEX($N$5:$Q$204,68,4),"")</f>
      </c>
      <c r="H72">
        <f>IFERROR(INDEX(_xlfn.UNIQUE(_xlfn.FILTER('기록'!$C$2:$C$181,('기록'!$C$2:$C$181&lt;&gt;"")*('기록'!$A$2:$A$181&gt;=$B$1)*('기록'!$A$2:$A$181&lt;=$B$2))),68),"")</f>
      </c>
      <c r="I72">
        <f>IF(H72="","",COUNTA(_xlfn.UNIQUE(_xlfn.FILTER('기록'!$A:$A,(('기록'!$C:$C=H72)*('기록'!$A:$A&gt;=$B$1)*('기록'!$A:$A&lt;=$B$2))))))</f>
      </c>
      <c r="J72">
        <f>IF(H72="","",COUNTIFS('기록'!$C:$C,H72,'기록'!$A:$A,"&gt;="&amp;$B$1,'기록'!$A:$A,"&lt;="&amp;$B$2))</f>
      </c>
      <c r="K72">
        <f>IF(H72="","",_xlfn.TEXTJOIN(", ",TRUE,_xlfn.UNIQUE(_xlfn.FILTER('기록'!$A:$A,(('기록'!$C:$C=H72)*('기록'!$A:$A&gt;=$B$1)*('기록'!$A:$A&lt;=$B$2))))))</f>
      </c>
      <c r="L72">
        <f>IF(H72="","",I72)</f>
      </c>
    </row>
    <row r="73" spans="1:12" x14ac:dyDescent="0.25">
      <c r="A73">
        <f>IFERROR(INDEX($N$5:$Q$204,69,1),"")</f>
      </c>
      <c r="B73">
        <f>IFERROR(INDEX($N$5:$Q$204,69,2),"")</f>
      </c>
      <c r="C73">
        <f>IFERROR(INDEX($N$5:$Q$204,69,3),"")</f>
      </c>
      <c r="D73">
        <f>IFERROR(INDEX($N$5:$Q$204,69,4),"")</f>
      </c>
      <c r="H73">
        <f>IFERROR(INDEX(_xlfn.UNIQUE(_xlfn.FILTER('기록'!$C$2:$C$181,('기록'!$C$2:$C$181&lt;&gt;"")*('기록'!$A$2:$A$181&gt;=$B$1)*('기록'!$A$2:$A$181&lt;=$B$2))),69),"")</f>
      </c>
      <c r="I73">
        <f>IF(H73="","",COUNTA(_xlfn.UNIQUE(_xlfn.FILTER('기록'!$A:$A,(('기록'!$C:$C=H73)*('기록'!$A:$A&gt;=$B$1)*('기록'!$A:$A&lt;=$B$2))))))</f>
      </c>
      <c r="J73">
        <f>IF(H73="","",COUNTIFS('기록'!$C:$C,H73,'기록'!$A:$A,"&gt;="&amp;$B$1,'기록'!$A:$A,"&lt;="&amp;$B$2))</f>
      </c>
      <c r="K73">
        <f>IF(H73="","",_xlfn.TEXTJOIN(", ",TRUE,_xlfn.UNIQUE(_xlfn.FILTER('기록'!$A:$A,(('기록'!$C:$C=H73)*('기록'!$A:$A&gt;=$B$1)*('기록'!$A:$A&lt;=$B$2))))))</f>
      </c>
      <c r="L73">
        <f>IF(H73="","",I73)</f>
      </c>
    </row>
    <row r="74" spans="1:12" x14ac:dyDescent="0.25">
      <c r="A74">
        <f>IFERROR(INDEX($N$5:$Q$204,70,1),"")</f>
      </c>
      <c r="B74">
        <f>IFERROR(INDEX($N$5:$Q$204,70,2),"")</f>
      </c>
      <c r="C74">
        <f>IFERROR(INDEX($N$5:$Q$204,70,3),"")</f>
      </c>
      <c r="D74">
        <f>IFERROR(INDEX($N$5:$Q$204,70,4),"")</f>
      </c>
      <c r="H74">
        <f>IFERROR(INDEX(_xlfn.UNIQUE(_xlfn.FILTER('기록'!$C$2:$C$181,('기록'!$C$2:$C$181&lt;&gt;"")*('기록'!$A$2:$A$181&gt;=$B$1)*('기록'!$A$2:$A$181&lt;=$B$2))),70),"")</f>
      </c>
      <c r="I74">
        <f>IF(H74="","",COUNTA(_xlfn.UNIQUE(_xlfn.FILTER('기록'!$A:$A,(('기록'!$C:$C=H74)*('기록'!$A:$A&gt;=$B$1)*('기록'!$A:$A&lt;=$B$2))))))</f>
      </c>
      <c r="J74">
        <f>IF(H74="","",COUNTIFS('기록'!$C:$C,H74,'기록'!$A:$A,"&gt;="&amp;$B$1,'기록'!$A:$A,"&lt;="&amp;$B$2))</f>
      </c>
      <c r="K74">
        <f>IF(H74="","",_xlfn.TEXTJOIN(", ",TRUE,_xlfn.UNIQUE(_xlfn.FILTER('기록'!$A:$A,(('기록'!$C:$C=H74)*('기록'!$A:$A&gt;=$B$1)*('기록'!$A:$A&lt;=$B$2))))))</f>
      </c>
      <c r="L74">
        <f>IF(H74="","",I74)</f>
      </c>
    </row>
    <row r="75" spans="1:12" x14ac:dyDescent="0.25">
      <c r="A75">
        <f>IFERROR(INDEX($N$5:$Q$204,71,1),"")</f>
      </c>
      <c r="B75">
        <f>IFERROR(INDEX($N$5:$Q$204,71,2),"")</f>
      </c>
      <c r="C75">
        <f>IFERROR(INDEX($N$5:$Q$204,71,3),"")</f>
      </c>
      <c r="D75">
        <f>IFERROR(INDEX($N$5:$Q$204,71,4),"")</f>
      </c>
      <c r="H75">
        <f>IFERROR(INDEX(_xlfn.UNIQUE(_xlfn.FILTER('기록'!$C$2:$C$181,('기록'!$C$2:$C$181&lt;&gt;"")*('기록'!$A$2:$A$181&gt;=$B$1)*('기록'!$A$2:$A$181&lt;=$B$2))),71),"")</f>
      </c>
      <c r="I75">
        <f>IF(H75="","",COUNTA(_xlfn.UNIQUE(_xlfn.FILTER('기록'!$A:$A,(('기록'!$C:$C=H75)*('기록'!$A:$A&gt;=$B$1)*('기록'!$A:$A&lt;=$B$2))))))</f>
      </c>
      <c r="J75">
        <f>IF(H75="","",COUNTIFS('기록'!$C:$C,H75,'기록'!$A:$A,"&gt;="&amp;$B$1,'기록'!$A:$A,"&lt;="&amp;$B$2))</f>
      </c>
      <c r="K75">
        <f>IF(H75="","",_xlfn.TEXTJOIN(", ",TRUE,_xlfn.UNIQUE(_xlfn.FILTER('기록'!$A:$A,(('기록'!$C:$C=H75)*('기록'!$A:$A&gt;=$B$1)*('기록'!$A:$A&lt;=$B$2))))))</f>
      </c>
      <c r="L75">
        <f>IF(H75="","",I75)</f>
      </c>
    </row>
    <row r="76" spans="1:12" x14ac:dyDescent="0.25">
      <c r="A76">
        <f>IFERROR(INDEX($N$5:$Q$204,72,1),"")</f>
      </c>
      <c r="B76">
        <f>IFERROR(INDEX($N$5:$Q$204,72,2),"")</f>
      </c>
      <c r="C76">
        <f>IFERROR(INDEX($N$5:$Q$204,72,3),"")</f>
      </c>
      <c r="D76">
        <f>IFERROR(INDEX($N$5:$Q$204,72,4),"")</f>
      </c>
      <c r="H76">
        <f>IFERROR(INDEX(_xlfn.UNIQUE(_xlfn.FILTER('기록'!$C$2:$C$181,('기록'!$C$2:$C$181&lt;&gt;"")*('기록'!$A$2:$A$181&gt;=$B$1)*('기록'!$A$2:$A$181&lt;=$B$2))),72),"")</f>
      </c>
      <c r="I76">
        <f>IF(H76="","",COUNTA(_xlfn.UNIQUE(_xlfn.FILTER('기록'!$A:$A,(('기록'!$C:$C=H76)*('기록'!$A:$A&gt;=$B$1)*('기록'!$A:$A&lt;=$B$2))))))</f>
      </c>
      <c r="J76">
        <f>IF(H76="","",COUNTIFS('기록'!$C:$C,H76,'기록'!$A:$A,"&gt;="&amp;$B$1,'기록'!$A:$A,"&lt;="&amp;$B$2))</f>
      </c>
      <c r="K76">
        <f>IF(H76="","",_xlfn.TEXTJOIN(", ",TRUE,_xlfn.UNIQUE(_xlfn.FILTER('기록'!$A:$A,(('기록'!$C:$C=H76)*('기록'!$A:$A&gt;=$B$1)*('기록'!$A:$A&lt;=$B$2))))))</f>
      </c>
      <c r="L76">
        <f>IF(H76="","",I76)</f>
      </c>
    </row>
    <row r="77" spans="1:12" x14ac:dyDescent="0.25">
      <c r="A77">
        <f>IFERROR(INDEX($N$5:$Q$204,73,1),"")</f>
      </c>
      <c r="B77">
        <f>IFERROR(INDEX($N$5:$Q$204,73,2),"")</f>
      </c>
      <c r="C77">
        <f>IFERROR(INDEX($N$5:$Q$204,73,3),"")</f>
      </c>
      <c r="D77">
        <f>IFERROR(INDEX($N$5:$Q$204,73,4),"")</f>
      </c>
      <c r="H77">
        <f>IFERROR(INDEX(_xlfn.UNIQUE(_xlfn.FILTER('기록'!$C$2:$C$181,('기록'!$C$2:$C$181&lt;&gt;"")*('기록'!$A$2:$A$181&gt;=$B$1)*('기록'!$A$2:$A$181&lt;=$B$2))),73),"")</f>
      </c>
      <c r="I77">
        <f>IF(H77="","",COUNTA(_xlfn.UNIQUE(_xlfn.FILTER('기록'!$A:$A,(('기록'!$C:$C=H77)*('기록'!$A:$A&gt;=$B$1)*('기록'!$A:$A&lt;=$B$2))))))</f>
      </c>
      <c r="J77">
        <f>IF(H77="","",COUNTIFS('기록'!$C:$C,H77,'기록'!$A:$A,"&gt;="&amp;$B$1,'기록'!$A:$A,"&lt;="&amp;$B$2))</f>
      </c>
      <c r="K77">
        <f>IF(H77="","",_xlfn.TEXTJOIN(", ",TRUE,_xlfn.UNIQUE(_xlfn.FILTER('기록'!$A:$A,(('기록'!$C:$C=H77)*('기록'!$A:$A&gt;=$B$1)*('기록'!$A:$A&lt;=$B$2))))))</f>
      </c>
      <c r="L77">
        <f>IF(H77="","",I77)</f>
      </c>
    </row>
    <row r="78" spans="1:12" x14ac:dyDescent="0.25">
      <c r="A78">
        <f>IFERROR(INDEX($N$5:$Q$204,74,1),"")</f>
      </c>
      <c r="B78">
        <f>IFERROR(INDEX($N$5:$Q$204,74,2),"")</f>
      </c>
      <c r="C78">
        <f>IFERROR(INDEX($N$5:$Q$204,74,3),"")</f>
      </c>
      <c r="D78">
        <f>IFERROR(INDEX($N$5:$Q$204,74,4),"")</f>
      </c>
      <c r="H78">
        <f>IFERROR(INDEX(_xlfn.UNIQUE(_xlfn.FILTER('기록'!$C$2:$C$181,('기록'!$C$2:$C$181&lt;&gt;"")*('기록'!$A$2:$A$181&gt;=$B$1)*('기록'!$A$2:$A$181&lt;=$B$2))),74),"")</f>
      </c>
      <c r="I78">
        <f>IF(H78="","",COUNTA(_xlfn.UNIQUE(_xlfn.FILTER('기록'!$A:$A,(('기록'!$C:$C=H78)*('기록'!$A:$A&gt;=$B$1)*('기록'!$A:$A&lt;=$B$2))))))</f>
      </c>
      <c r="J78">
        <f>IF(H78="","",COUNTIFS('기록'!$C:$C,H78,'기록'!$A:$A,"&gt;="&amp;$B$1,'기록'!$A:$A,"&lt;="&amp;$B$2))</f>
      </c>
      <c r="K78">
        <f>IF(H78="","",_xlfn.TEXTJOIN(", ",TRUE,_xlfn.UNIQUE(_xlfn.FILTER('기록'!$A:$A,(('기록'!$C:$C=H78)*('기록'!$A:$A&gt;=$B$1)*('기록'!$A:$A&lt;=$B$2))))))</f>
      </c>
      <c r="L78">
        <f>IF(H78="","",I78)</f>
      </c>
    </row>
    <row r="79" spans="1:12" x14ac:dyDescent="0.25">
      <c r="A79">
        <f>IFERROR(INDEX($N$5:$Q$204,75,1),"")</f>
      </c>
      <c r="B79">
        <f>IFERROR(INDEX($N$5:$Q$204,75,2),"")</f>
      </c>
      <c r="C79">
        <f>IFERROR(INDEX($N$5:$Q$204,75,3),"")</f>
      </c>
      <c r="D79">
        <f>IFERROR(INDEX($N$5:$Q$204,75,4),"")</f>
      </c>
      <c r="H79">
        <f>IFERROR(INDEX(_xlfn.UNIQUE(_xlfn.FILTER('기록'!$C$2:$C$181,('기록'!$C$2:$C$181&lt;&gt;"")*('기록'!$A$2:$A$181&gt;=$B$1)*('기록'!$A$2:$A$181&lt;=$B$2))),75),"")</f>
      </c>
      <c r="I79">
        <f>IF(H79="","",COUNTA(_xlfn.UNIQUE(_xlfn.FILTER('기록'!$A:$A,(('기록'!$C:$C=H79)*('기록'!$A:$A&gt;=$B$1)*('기록'!$A:$A&lt;=$B$2))))))</f>
      </c>
      <c r="J79">
        <f>IF(H79="","",COUNTIFS('기록'!$C:$C,H79,'기록'!$A:$A,"&gt;="&amp;$B$1,'기록'!$A:$A,"&lt;="&amp;$B$2))</f>
      </c>
      <c r="K79">
        <f>IF(H79="","",_xlfn.TEXTJOIN(", ",TRUE,_xlfn.UNIQUE(_xlfn.FILTER('기록'!$A:$A,(('기록'!$C:$C=H79)*('기록'!$A:$A&gt;=$B$1)*('기록'!$A:$A&lt;=$B$2))))))</f>
      </c>
      <c r="L79">
        <f>IF(H79="","",I79)</f>
      </c>
    </row>
    <row r="80" spans="1:12" x14ac:dyDescent="0.25">
      <c r="A80">
        <f>IFERROR(INDEX($N$5:$Q$204,76,1),"")</f>
      </c>
      <c r="B80">
        <f>IFERROR(INDEX($N$5:$Q$204,76,2),"")</f>
      </c>
      <c r="C80">
        <f>IFERROR(INDEX($N$5:$Q$204,76,3),"")</f>
      </c>
      <c r="D80">
        <f>IFERROR(INDEX($N$5:$Q$204,76,4),"")</f>
      </c>
      <c r="H80">
        <f>IFERROR(INDEX(_xlfn.UNIQUE(_xlfn.FILTER('기록'!$C$2:$C$181,('기록'!$C$2:$C$181&lt;&gt;"")*('기록'!$A$2:$A$181&gt;=$B$1)*('기록'!$A$2:$A$181&lt;=$B$2))),76),"")</f>
      </c>
      <c r="I80">
        <f>IF(H80="","",COUNTA(_xlfn.UNIQUE(_xlfn.FILTER('기록'!$A:$A,(('기록'!$C:$C=H80)*('기록'!$A:$A&gt;=$B$1)*('기록'!$A:$A&lt;=$B$2))))))</f>
      </c>
      <c r="J80">
        <f>IF(H80="","",COUNTIFS('기록'!$C:$C,H80,'기록'!$A:$A,"&gt;="&amp;$B$1,'기록'!$A:$A,"&lt;="&amp;$B$2))</f>
      </c>
      <c r="K80">
        <f>IF(H80="","",_xlfn.TEXTJOIN(", ",TRUE,_xlfn.UNIQUE(_xlfn.FILTER('기록'!$A:$A,(('기록'!$C:$C=H80)*('기록'!$A:$A&gt;=$B$1)*('기록'!$A:$A&lt;=$B$2))))))</f>
      </c>
      <c r="L80">
        <f>IF(H80="","",I80)</f>
      </c>
    </row>
    <row r="81" spans="1:12" x14ac:dyDescent="0.25">
      <c r="A81">
        <f>IFERROR(INDEX($N$5:$Q$204,77,1),"")</f>
      </c>
      <c r="B81">
        <f>IFERROR(INDEX($N$5:$Q$204,77,2),"")</f>
      </c>
      <c r="C81">
        <f>IFERROR(INDEX($N$5:$Q$204,77,3),"")</f>
      </c>
      <c r="D81">
        <f>IFERROR(INDEX($N$5:$Q$204,77,4),"")</f>
      </c>
      <c r="H81">
        <f>IFERROR(INDEX(_xlfn.UNIQUE(_xlfn.FILTER('기록'!$C$2:$C$181,('기록'!$C$2:$C$181&lt;&gt;"")*('기록'!$A$2:$A$181&gt;=$B$1)*('기록'!$A$2:$A$181&lt;=$B$2))),77),"")</f>
      </c>
      <c r="I81">
        <f>IF(H81="","",COUNTA(_xlfn.UNIQUE(_xlfn.FILTER('기록'!$A:$A,(('기록'!$C:$C=H81)*('기록'!$A:$A&gt;=$B$1)*('기록'!$A:$A&lt;=$B$2))))))</f>
      </c>
      <c r="J81">
        <f>IF(H81="","",COUNTIFS('기록'!$C:$C,H81,'기록'!$A:$A,"&gt;="&amp;$B$1,'기록'!$A:$A,"&lt;="&amp;$B$2))</f>
      </c>
      <c r="K81">
        <f>IF(H81="","",_xlfn.TEXTJOIN(", ",TRUE,_xlfn.UNIQUE(_xlfn.FILTER('기록'!$A:$A,(('기록'!$C:$C=H81)*('기록'!$A:$A&gt;=$B$1)*('기록'!$A:$A&lt;=$B$2))))))</f>
      </c>
      <c r="L81">
        <f>IF(H81="","",I81)</f>
      </c>
    </row>
    <row r="82" spans="1:12" x14ac:dyDescent="0.25">
      <c r="A82">
        <f>IFERROR(INDEX($N$5:$Q$204,78,1),"")</f>
      </c>
      <c r="B82">
        <f>IFERROR(INDEX($N$5:$Q$204,78,2),"")</f>
      </c>
      <c r="C82">
        <f>IFERROR(INDEX($N$5:$Q$204,78,3),"")</f>
      </c>
      <c r="D82">
        <f>IFERROR(INDEX($N$5:$Q$204,78,4),"")</f>
      </c>
      <c r="H82">
        <f>IFERROR(INDEX(_xlfn.UNIQUE(_xlfn.FILTER('기록'!$C$2:$C$181,('기록'!$C$2:$C$181&lt;&gt;"")*('기록'!$A$2:$A$181&gt;=$B$1)*('기록'!$A$2:$A$181&lt;=$B$2))),78),"")</f>
      </c>
      <c r="I82">
        <f>IF(H82="","",COUNTA(_xlfn.UNIQUE(_xlfn.FILTER('기록'!$A:$A,(('기록'!$C:$C=H82)*('기록'!$A:$A&gt;=$B$1)*('기록'!$A:$A&lt;=$B$2))))))</f>
      </c>
      <c r="J82">
        <f>IF(H82="","",COUNTIFS('기록'!$C:$C,H82,'기록'!$A:$A,"&gt;="&amp;$B$1,'기록'!$A:$A,"&lt;="&amp;$B$2))</f>
      </c>
      <c r="K82">
        <f>IF(H82="","",_xlfn.TEXTJOIN(", ",TRUE,_xlfn.UNIQUE(_xlfn.FILTER('기록'!$A:$A,(('기록'!$C:$C=H82)*('기록'!$A:$A&gt;=$B$1)*('기록'!$A:$A&lt;=$B$2))))))</f>
      </c>
      <c r="L82">
        <f>IF(H82="","",I82)</f>
      </c>
    </row>
    <row r="83" spans="1:12" x14ac:dyDescent="0.25">
      <c r="A83">
        <f>IFERROR(INDEX($N$5:$Q$204,79,1),"")</f>
      </c>
      <c r="B83">
        <f>IFERROR(INDEX($N$5:$Q$204,79,2),"")</f>
      </c>
      <c r="C83">
        <f>IFERROR(INDEX($N$5:$Q$204,79,3),"")</f>
      </c>
      <c r="D83">
        <f>IFERROR(INDEX($N$5:$Q$204,79,4),"")</f>
      </c>
      <c r="H83">
        <f>IFERROR(INDEX(_xlfn.UNIQUE(_xlfn.FILTER('기록'!$C$2:$C$181,('기록'!$C$2:$C$181&lt;&gt;"")*('기록'!$A$2:$A$181&gt;=$B$1)*('기록'!$A$2:$A$181&lt;=$B$2))),79),"")</f>
      </c>
      <c r="I83">
        <f>IF(H83="","",COUNTA(_xlfn.UNIQUE(_xlfn.FILTER('기록'!$A:$A,(('기록'!$C:$C=H83)*('기록'!$A:$A&gt;=$B$1)*('기록'!$A:$A&lt;=$B$2))))))</f>
      </c>
      <c r="J83">
        <f>IF(H83="","",COUNTIFS('기록'!$C:$C,H83,'기록'!$A:$A,"&gt;="&amp;$B$1,'기록'!$A:$A,"&lt;="&amp;$B$2))</f>
      </c>
      <c r="K83">
        <f>IF(H83="","",_xlfn.TEXTJOIN(", ",TRUE,_xlfn.UNIQUE(_xlfn.FILTER('기록'!$A:$A,(('기록'!$C:$C=H83)*('기록'!$A:$A&gt;=$B$1)*('기록'!$A:$A&lt;=$B$2))))))</f>
      </c>
      <c r="L83">
        <f>IF(H83="","",I83)</f>
      </c>
    </row>
    <row r="84" spans="1:12" x14ac:dyDescent="0.25">
      <c r="A84">
        <f>IFERROR(INDEX($N$5:$Q$204,80,1),"")</f>
      </c>
      <c r="B84">
        <f>IFERROR(INDEX($N$5:$Q$204,80,2),"")</f>
      </c>
      <c r="C84">
        <f>IFERROR(INDEX($N$5:$Q$204,80,3),"")</f>
      </c>
      <c r="D84">
        <f>IFERROR(INDEX($N$5:$Q$204,80,4),"")</f>
      </c>
      <c r="H84">
        <f>IFERROR(INDEX(_xlfn.UNIQUE(_xlfn.FILTER('기록'!$C$2:$C$181,('기록'!$C$2:$C$181&lt;&gt;"")*('기록'!$A$2:$A$181&gt;=$B$1)*('기록'!$A$2:$A$181&lt;=$B$2))),80),"")</f>
      </c>
      <c r="I84">
        <f>IF(H84="","",COUNTA(_xlfn.UNIQUE(_xlfn.FILTER('기록'!$A:$A,(('기록'!$C:$C=H84)*('기록'!$A:$A&gt;=$B$1)*('기록'!$A:$A&lt;=$B$2))))))</f>
      </c>
      <c r="J84">
        <f>IF(H84="","",COUNTIFS('기록'!$C:$C,H84,'기록'!$A:$A,"&gt;="&amp;$B$1,'기록'!$A:$A,"&lt;="&amp;$B$2))</f>
      </c>
      <c r="K84">
        <f>IF(H84="","",_xlfn.TEXTJOIN(", ",TRUE,_xlfn.UNIQUE(_xlfn.FILTER('기록'!$A:$A,(('기록'!$C:$C=H84)*('기록'!$A:$A&gt;=$B$1)*('기록'!$A:$A&lt;=$B$2))))))</f>
      </c>
      <c r="L84">
        <f>IF(H84="","",I84)</f>
      </c>
    </row>
    <row r="85" spans="1:12" x14ac:dyDescent="0.25">
      <c r="A85">
        <f>IFERROR(INDEX($N$5:$Q$204,81,1),"")</f>
      </c>
      <c r="B85">
        <f>IFERROR(INDEX($N$5:$Q$204,81,2),"")</f>
      </c>
      <c r="C85">
        <f>IFERROR(INDEX($N$5:$Q$204,81,3),"")</f>
      </c>
      <c r="D85">
        <f>IFERROR(INDEX($N$5:$Q$204,81,4),"")</f>
      </c>
      <c r="H85">
        <f>IFERROR(INDEX(_xlfn.UNIQUE(_xlfn.FILTER('기록'!$C$2:$C$181,('기록'!$C$2:$C$181&lt;&gt;"")*('기록'!$A$2:$A$181&gt;=$B$1)*('기록'!$A$2:$A$181&lt;=$B$2))),81),"")</f>
      </c>
      <c r="I85">
        <f>IF(H85="","",COUNTA(_xlfn.UNIQUE(_xlfn.FILTER('기록'!$A:$A,(('기록'!$C:$C=H85)*('기록'!$A:$A&gt;=$B$1)*('기록'!$A:$A&lt;=$B$2))))))</f>
      </c>
      <c r="J85">
        <f>IF(H85="","",COUNTIFS('기록'!$C:$C,H85,'기록'!$A:$A,"&gt;="&amp;$B$1,'기록'!$A:$A,"&lt;="&amp;$B$2))</f>
      </c>
      <c r="K85">
        <f>IF(H85="","",_xlfn.TEXTJOIN(", ",TRUE,_xlfn.UNIQUE(_xlfn.FILTER('기록'!$A:$A,(('기록'!$C:$C=H85)*('기록'!$A:$A&gt;=$B$1)*('기록'!$A:$A&lt;=$B$2))))))</f>
      </c>
      <c r="L85">
        <f>IF(H85="","",I85)</f>
      </c>
    </row>
    <row r="86" spans="1:12" x14ac:dyDescent="0.25">
      <c r="A86">
        <f>IFERROR(INDEX($N$5:$Q$204,82,1),"")</f>
      </c>
      <c r="B86">
        <f>IFERROR(INDEX($N$5:$Q$204,82,2),"")</f>
      </c>
      <c r="C86">
        <f>IFERROR(INDEX($N$5:$Q$204,82,3),"")</f>
      </c>
      <c r="D86">
        <f>IFERROR(INDEX($N$5:$Q$204,82,4),"")</f>
      </c>
      <c r="H86">
        <f>IFERROR(INDEX(_xlfn.UNIQUE(_xlfn.FILTER('기록'!$C$2:$C$181,('기록'!$C$2:$C$181&lt;&gt;"")*('기록'!$A$2:$A$181&gt;=$B$1)*('기록'!$A$2:$A$181&lt;=$B$2))),82),"")</f>
      </c>
      <c r="I86">
        <f>IF(H86="","",COUNTA(_xlfn.UNIQUE(_xlfn.FILTER('기록'!$A:$A,(('기록'!$C:$C=H86)*('기록'!$A:$A&gt;=$B$1)*('기록'!$A:$A&lt;=$B$2))))))</f>
      </c>
      <c r="J86">
        <f>IF(H86="","",COUNTIFS('기록'!$C:$C,H86,'기록'!$A:$A,"&gt;="&amp;$B$1,'기록'!$A:$A,"&lt;="&amp;$B$2))</f>
      </c>
      <c r="K86">
        <f>IF(H86="","",_xlfn.TEXTJOIN(", ",TRUE,_xlfn.UNIQUE(_xlfn.FILTER('기록'!$A:$A,(('기록'!$C:$C=H86)*('기록'!$A:$A&gt;=$B$1)*('기록'!$A:$A&lt;=$B$2))))))</f>
      </c>
      <c r="L86">
        <f>IF(H86="","",I86)</f>
      </c>
    </row>
    <row r="87" spans="1:12" x14ac:dyDescent="0.25">
      <c r="A87">
        <f>IFERROR(INDEX($N$5:$Q$204,83,1),"")</f>
      </c>
      <c r="B87">
        <f>IFERROR(INDEX($N$5:$Q$204,83,2),"")</f>
      </c>
      <c r="C87">
        <f>IFERROR(INDEX($N$5:$Q$204,83,3),"")</f>
      </c>
      <c r="D87">
        <f>IFERROR(INDEX($N$5:$Q$204,83,4),"")</f>
      </c>
      <c r="H87">
        <f>IFERROR(INDEX(_xlfn.UNIQUE(_xlfn.FILTER('기록'!$C$2:$C$181,('기록'!$C$2:$C$181&lt;&gt;"")*('기록'!$A$2:$A$181&gt;=$B$1)*('기록'!$A$2:$A$181&lt;=$B$2))),83),"")</f>
      </c>
      <c r="I87">
        <f>IF(H87="","",COUNTA(_xlfn.UNIQUE(_xlfn.FILTER('기록'!$A:$A,(('기록'!$C:$C=H87)*('기록'!$A:$A&gt;=$B$1)*('기록'!$A:$A&lt;=$B$2))))))</f>
      </c>
      <c r="J87">
        <f>IF(H87="","",COUNTIFS('기록'!$C:$C,H87,'기록'!$A:$A,"&gt;="&amp;$B$1,'기록'!$A:$A,"&lt;="&amp;$B$2))</f>
      </c>
      <c r="K87">
        <f>IF(H87="","",_xlfn.TEXTJOIN(", ",TRUE,_xlfn.UNIQUE(_xlfn.FILTER('기록'!$A:$A,(('기록'!$C:$C=H87)*('기록'!$A:$A&gt;=$B$1)*('기록'!$A:$A&lt;=$B$2))))))</f>
      </c>
      <c r="L87">
        <f>IF(H87="","",I87)</f>
      </c>
    </row>
    <row r="88" spans="1:12" x14ac:dyDescent="0.25">
      <c r="A88">
        <f>IFERROR(INDEX($N$5:$Q$204,84,1),"")</f>
      </c>
      <c r="B88">
        <f>IFERROR(INDEX($N$5:$Q$204,84,2),"")</f>
      </c>
      <c r="C88">
        <f>IFERROR(INDEX($N$5:$Q$204,84,3),"")</f>
      </c>
      <c r="D88">
        <f>IFERROR(INDEX($N$5:$Q$204,84,4),"")</f>
      </c>
      <c r="H88">
        <f>IFERROR(INDEX(_xlfn.UNIQUE(_xlfn.FILTER('기록'!$C$2:$C$181,('기록'!$C$2:$C$181&lt;&gt;"")*('기록'!$A$2:$A$181&gt;=$B$1)*('기록'!$A$2:$A$181&lt;=$B$2))),84),"")</f>
      </c>
      <c r="I88">
        <f>IF(H88="","",COUNTA(_xlfn.UNIQUE(_xlfn.FILTER('기록'!$A:$A,(('기록'!$C:$C=H88)*('기록'!$A:$A&gt;=$B$1)*('기록'!$A:$A&lt;=$B$2))))))</f>
      </c>
      <c r="J88">
        <f>IF(H88="","",COUNTIFS('기록'!$C:$C,H88,'기록'!$A:$A,"&gt;="&amp;$B$1,'기록'!$A:$A,"&lt;="&amp;$B$2))</f>
      </c>
      <c r="K88">
        <f>IF(H88="","",_xlfn.TEXTJOIN(", ",TRUE,_xlfn.UNIQUE(_xlfn.FILTER('기록'!$A:$A,(('기록'!$C:$C=H88)*('기록'!$A:$A&gt;=$B$1)*('기록'!$A:$A&lt;=$B$2))))))</f>
      </c>
      <c r="L88">
        <f>IF(H88="","",I88)</f>
      </c>
    </row>
    <row r="89" spans="1:12" x14ac:dyDescent="0.25">
      <c r="A89">
        <f>IFERROR(INDEX($N$5:$Q$204,85,1),"")</f>
      </c>
      <c r="B89">
        <f>IFERROR(INDEX($N$5:$Q$204,85,2),"")</f>
      </c>
      <c r="C89">
        <f>IFERROR(INDEX($N$5:$Q$204,85,3),"")</f>
      </c>
      <c r="D89">
        <f>IFERROR(INDEX($N$5:$Q$204,85,4),"")</f>
      </c>
      <c r="H89">
        <f>IFERROR(INDEX(_xlfn.UNIQUE(_xlfn.FILTER('기록'!$C$2:$C$181,('기록'!$C$2:$C$181&lt;&gt;"")*('기록'!$A$2:$A$181&gt;=$B$1)*('기록'!$A$2:$A$181&lt;=$B$2))),85),"")</f>
      </c>
      <c r="I89">
        <f>IF(H89="","",COUNTA(_xlfn.UNIQUE(_xlfn.FILTER('기록'!$A:$A,(('기록'!$C:$C=H89)*('기록'!$A:$A&gt;=$B$1)*('기록'!$A:$A&lt;=$B$2))))))</f>
      </c>
      <c r="J89">
        <f>IF(H89="","",COUNTIFS('기록'!$C:$C,H89,'기록'!$A:$A,"&gt;="&amp;$B$1,'기록'!$A:$A,"&lt;="&amp;$B$2))</f>
      </c>
      <c r="K89">
        <f>IF(H89="","",_xlfn.TEXTJOIN(", ",TRUE,_xlfn.UNIQUE(_xlfn.FILTER('기록'!$A:$A,(('기록'!$C:$C=H89)*('기록'!$A:$A&gt;=$B$1)*('기록'!$A:$A&lt;=$B$2))))))</f>
      </c>
      <c r="L89">
        <f>IF(H89="","",I89)</f>
      </c>
    </row>
    <row r="90" spans="1:12" x14ac:dyDescent="0.25">
      <c r="A90">
        <f>IFERROR(INDEX($N$5:$Q$204,86,1),"")</f>
      </c>
      <c r="B90">
        <f>IFERROR(INDEX($N$5:$Q$204,86,2),"")</f>
      </c>
      <c r="C90">
        <f>IFERROR(INDEX($N$5:$Q$204,86,3),"")</f>
      </c>
      <c r="D90">
        <f>IFERROR(INDEX($N$5:$Q$204,86,4),"")</f>
      </c>
      <c r="H90">
        <f>IFERROR(INDEX(_xlfn.UNIQUE(_xlfn.FILTER('기록'!$C$2:$C$181,('기록'!$C$2:$C$181&lt;&gt;"")*('기록'!$A$2:$A$181&gt;=$B$1)*('기록'!$A$2:$A$181&lt;=$B$2))),86),"")</f>
      </c>
      <c r="I90">
        <f>IF(H90="","",COUNTA(_xlfn.UNIQUE(_xlfn.FILTER('기록'!$A:$A,(('기록'!$C:$C=H90)*('기록'!$A:$A&gt;=$B$1)*('기록'!$A:$A&lt;=$B$2))))))</f>
      </c>
      <c r="J90">
        <f>IF(H90="","",COUNTIFS('기록'!$C:$C,H90,'기록'!$A:$A,"&gt;="&amp;$B$1,'기록'!$A:$A,"&lt;="&amp;$B$2))</f>
      </c>
      <c r="K90">
        <f>IF(H90="","",_xlfn.TEXTJOIN(", ",TRUE,_xlfn.UNIQUE(_xlfn.FILTER('기록'!$A:$A,(('기록'!$C:$C=H90)*('기록'!$A:$A&gt;=$B$1)*('기록'!$A:$A&lt;=$B$2))))))</f>
      </c>
      <c r="L90">
        <f>IF(H90="","",I90)</f>
      </c>
    </row>
    <row r="91" spans="1:12" x14ac:dyDescent="0.25">
      <c r="A91">
        <f>IFERROR(INDEX($N$5:$Q$204,87,1),"")</f>
      </c>
      <c r="B91">
        <f>IFERROR(INDEX($N$5:$Q$204,87,2),"")</f>
      </c>
      <c r="C91">
        <f>IFERROR(INDEX($N$5:$Q$204,87,3),"")</f>
      </c>
      <c r="D91">
        <f>IFERROR(INDEX($N$5:$Q$204,87,4),"")</f>
      </c>
      <c r="H91">
        <f>IFERROR(INDEX(_xlfn.UNIQUE(_xlfn.FILTER('기록'!$C$2:$C$181,('기록'!$C$2:$C$181&lt;&gt;"")*('기록'!$A$2:$A$181&gt;=$B$1)*('기록'!$A$2:$A$181&lt;=$B$2))),87),"")</f>
      </c>
      <c r="I91">
        <f>IF(H91="","",COUNTA(_xlfn.UNIQUE(_xlfn.FILTER('기록'!$A:$A,(('기록'!$C:$C=H91)*('기록'!$A:$A&gt;=$B$1)*('기록'!$A:$A&lt;=$B$2))))))</f>
      </c>
      <c r="J91">
        <f>IF(H91="","",COUNTIFS('기록'!$C:$C,H91,'기록'!$A:$A,"&gt;="&amp;$B$1,'기록'!$A:$A,"&lt;="&amp;$B$2))</f>
      </c>
      <c r="K91">
        <f>IF(H91="","",_xlfn.TEXTJOIN(", ",TRUE,_xlfn.UNIQUE(_xlfn.FILTER('기록'!$A:$A,(('기록'!$C:$C=H91)*('기록'!$A:$A&gt;=$B$1)*('기록'!$A:$A&lt;=$B$2))))))</f>
      </c>
      <c r="L91">
        <f>IF(H91="","",I91)</f>
      </c>
    </row>
    <row r="92" spans="1:12" x14ac:dyDescent="0.25">
      <c r="A92">
        <f>IFERROR(INDEX($N$5:$Q$204,88,1),"")</f>
      </c>
      <c r="B92">
        <f>IFERROR(INDEX($N$5:$Q$204,88,2),"")</f>
      </c>
      <c r="C92">
        <f>IFERROR(INDEX($N$5:$Q$204,88,3),"")</f>
      </c>
      <c r="D92">
        <f>IFERROR(INDEX($N$5:$Q$204,88,4),"")</f>
      </c>
      <c r="H92">
        <f>IFERROR(INDEX(_xlfn.UNIQUE(_xlfn.FILTER('기록'!$C$2:$C$181,('기록'!$C$2:$C$181&lt;&gt;"")*('기록'!$A$2:$A$181&gt;=$B$1)*('기록'!$A$2:$A$181&lt;=$B$2))),88),"")</f>
      </c>
      <c r="I92">
        <f>IF(H92="","",COUNTA(_xlfn.UNIQUE(_xlfn.FILTER('기록'!$A:$A,(('기록'!$C:$C=H92)*('기록'!$A:$A&gt;=$B$1)*('기록'!$A:$A&lt;=$B$2))))))</f>
      </c>
      <c r="J92">
        <f>IF(H92="","",COUNTIFS('기록'!$C:$C,H92,'기록'!$A:$A,"&gt;="&amp;$B$1,'기록'!$A:$A,"&lt;="&amp;$B$2))</f>
      </c>
      <c r="K92">
        <f>IF(H92="","",_xlfn.TEXTJOIN(", ",TRUE,_xlfn.UNIQUE(_xlfn.FILTER('기록'!$A:$A,(('기록'!$C:$C=H92)*('기록'!$A:$A&gt;=$B$1)*('기록'!$A:$A&lt;=$B$2))))))</f>
      </c>
      <c r="L92">
        <f>IF(H92="","",I92)</f>
      </c>
    </row>
    <row r="93" spans="1:12" x14ac:dyDescent="0.25">
      <c r="A93">
        <f>IFERROR(INDEX($N$5:$Q$204,89,1),"")</f>
      </c>
      <c r="B93">
        <f>IFERROR(INDEX($N$5:$Q$204,89,2),"")</f>
      </c>
      <c r="C93">
        <f>IFERROR(INDEX($N$5:$Q$204,89,3),"")</f>
      </c>
      <c r="D93">
        <f>IFERROR(INDEX($N$5:$Q$204,89,4),"")</f>
      </c>
      <c r="H93">
        <f>IFERROR(INDEX(_xlfn.UNIQUE(_xlfn.FILTER('기록'!$C$2:$C$181,('기록'!$C$2:$C$181&lt;&gt;"")*('기록'!$A$2:$A$181&gt;=$B$1)*('기록'!$A$2:$A$181&lt;=$B$2))),89),"")</f>
      </c>
      <c r="I93">
        <f>IF(H93="","",COUNTA(_xlfn.UNIQUE(_xlfn.FILTER('기록'!$A:$A,(('기록'!$C:$C=H93)*('기록'!$A:$A&gt;=$B$1)*('기록'!$A:$A&lt;=$B$2))))))</f>
      </c>
      <c r="J93">
        <f>IF(H93="","",COUNTIFS('기록'!$C:$C,H93,'기록'!$A:$A,"&gt;="&amp;$B$1,'기록'!$A:$A,"&lt;="&amp;$B$2))</f>
      </c>
      <c r="K93">
        <f>IF(H93="","",_xlfn.TEXTJOIN(", ",TRUE,_xlfn.UNIQUE(_xlfn.FILTER('기록'!$A:$A,(('기록'!$C:$C=H93)*('기록'!$A:$A&gt;=$B$1)*('기록'!$A:$A&lt;=$B$2))))))</f>
      </c>
      <c r="L93">
        <f>IF(H93="","",I93)</f>
      </c>
    </row>
    <row r="94" spans="1:12" x14ac:dyDescent="0.25">
      <c r="A94">
        <f>IFERROR(INDEX($N$5:$Q$204,90,1),"")</f>
      </c>
      <c r="B94">
        <f>IFERROR(INDEX($N$5:$Q$204,90,2),"")</f>
      </c>
      <c r="C94">
        <f>IFERROR(INDEX($N$5:$Q$204,90,3),"")</f>
      </c>
      <c r="D94">
        <f>IFERROR(INDEX($N$5:$Q$204,90,4),"")</f>
      </c>
      <c r="H94">
        <f>IFERROR(INDEX(_xlfn.UNIQUE(_xlfn.FILTER('기록'!$C$2:$C$181,('기록'!$C$2:$C$181&lt;&gt;"")*('기록'!$A$2:$A$181&gt;=$B$1)*('기록'!$A$2:$A$181&lt;=$B$2))),90),"")</f>
      </c>
      <c r="I94">
        <f>IF(H94="","",COUNTA(_xlfn.UNIQUE(_xlfn.FILTER('기록'!$A:$A,(('기록'!$C:$C=H94)*('기록'!$A:$A&gt;=$B$1)*('기록'!$A:$A&lt;=$B$2))))))</f>
      </c>
      <c r="J94">
        <f>IF(H94="","",COUNTIFS('기록'!$C:$C,H94,'기록'!$A:$A,"&gt;="&amp;$B$1,'기록'!$A:$A,"&lt;="&amp;$B$2))</f>
      </c>
      <c r="K94">
        <f>IF(H94="","",_xlfn.TEXTJOIN(", ",TRUE,_xlfn.UNIQUE(_xlfn.FILTER('기록'!$A:$A,(('기록'!$C:$C=H94)*('기록'!$A:$A&gt;=$B$1)*('기록'!$A:$A&lt;=$B$2))))))</f>
      </c>
      <c r="L94">
        <f>IF(H94="","",I94)</f>
      </c>
    </row>
    <row r="95" spans="1:12" x14ac:dyDescent="0.25">
      <c r="A95">
        <f>IFERROR(INDEX($N$5:$Q$204,91,1),"")</f>
      </c>
      <c r="B95">
        <f>IFERROR(INDEX($N$5:$Q$204,91,2),"")</f>
      </c>
      <c r="C95">
        <f>IFERROR(INDEX($N$5:$Q$204,91,3),"")</f>
      </c>
      <c r="D95">
        <f>IFERROR(INDEX($N$5:$Q$204,91,4),"")</f>
      </c>
      <c r="H95">
        <f>IFERROR(INDEX(_xlfn.UNIQUE(_xlfn.FILTER('기록'!$C$2:$C$181,('기록'!$C$2:$C$181&lt;&gt;"")*('기록'!$A$2:$A$181&gt;=$B$1)*('기록'!$A$2:$A$181&lt;=$B$2))),91),"")</f>
      </c>
      <c r="I95">
        <f>IF(H95="","",COUNTA(_xlfn.UNIQUE(_xlfn.FILTER('기록'!$A:$A,(('기록'!$C:$C=H95)*('기록'!$A:$A&gt;=$B$1)*('기록'!$A:$A&lt;=$B$2))))))</f>
      </c>
      <c r="J95">
        <f>IF(H95="","",COUNTIFS('기록'!$C:$C,H95,'기록'!$A:$A,"&gt;="&amp;$B$1,'기록'!$A:$A,"&lt;="&amp;$B$2))</f>
      </c>
      <c r="K95">
        <f>IF(H95="","",_xlfn.TEXTJOIN(", ",TRUE,_xlfn.UNIQUE(_xlfn.FILTER('기록'!$A:$A,(('기록'!$C:$C=H95)*('기록'!$A:$A&gt;=$B$1)*('기록'!$A:$A&lt;=$B$2))))))</f>
      </c>
      <c r="L95">
        <f>IF(H95="","",I95)</f>
      </c>
    </row>
    <row r="96" spans="1:12" x14ac:dyDescent="0.25">
      <c r="A96">
        <f>IFERROR(INDEX($N$5:$Q$204,92,1),"")</f>
      </c>
      <c r="B96">
        <f>IFERROR(INDEX($N$5:$Q$204,92,2),"")</f>
      </c>
      <c r="C96">
        <f>IFERROR(INDEX($N$5:$Q$204,92,3),"")</f>
      </c>
      <c r="D96">
        <f>IFERROR(INDEX($N$5:$Q$204,92,4),"")</f>
      </c>
      <c r="H96">
        <f>IFERROR(INDEX(_xlfn.UNIQUE(_xlfn.FILTER('기록'!$C$2:$C$181,('기록'!$C$2:$C$181&lt;&gt;"")*('기록'!$A$2:$A$181&gt;=$B$1)*('기록'!$A$2:$A$181&lt;=$B$2))),92),"")</f>
      </c>
      <c r="I96">
        <f>IF(H96="","",COUNTA(_xlfn.UNIQUE(_xlfn.FILTER('기록'!$A:$A,(('기록'!$C:$C=H96)*('기록'!$A:$A&gt;=$B$1)*('기록'!$A:$A&lt;=$B$2))))))</f>
      </c>
      <c r="J96">
        <f>IF(H96="","",COUNTIFS('기록'!$C:$C,H96,'기록'!$A:$A,"&gt;="&amp;$B$1,'기록'!$A:$A,"&lt;="&amp;$B$2))</f>
      </c>
      <c r="K96">
        <f>IF(H96="","",_xlfn.TEXTJOIN(", ",TRUE,_xlfn.UNIQUE(_xlfn.FILTER('기록'!$A:$A,(('기록'!$C:$C=H96)*('기록'!$A:$A&gt;=$B$1)*('기록'!$A:$A&lt;=$B$2))))))</f>
      </c>
      <c r="L96">
        <f>IF(H96="","",I96)</f>
      </c>
    </row>
    <row r="97" spans="1:12" x14ac:dyDescent="0.25">
      <c r="A97">
        <f>IFERROR(INDEX($N$5:$Q$204,93,1),"")</f>
      </c>
      <c r="B97">
        <f>IFERROR(INDEX($N$5:$Q$204,93,2),"")</f>
      </c>
      <c r="C97">
        <f>IFERROR(INDEX($N$5:$Q$204,93,3),"")</f>
      </c>
      <c r="D97">
        <f>IFERROR(INDEX($N$5:$Q$204,93,4),"")</f>
      </c>
      <c r="H97">
        <f>IFERROR(INDEX(_xlfn.UNIQUE(_xlfn.FILTER('기록'!$C$2:$C$181,('기록'!$C$2:$C$181&lt;&gt;"")*('기록'!$A$2:$A$181&gt;=$B$1)*('기록'!$A$2:$A$181&lt;=$B$2))),93),"")</f>
      </c>
      <c r="I97">
        <f>IF(H97="","",COUNTA(_xlfn.UNIQUE(_xlfn.FILTER('기록'!$A:$A,(('기록'!$C:$C=H97)*('기록'!$A:$A&gt;=$B$1)*('기록'!$A:$A&lt;=$B$2))))))</f>
      </c>
      <c r="J97">
        <f>IF(H97="","",COUNTIFS('기록'!$C:$C,H97,'기록'!$A:$A,"&gt;="&amp;$B$1,'기록'!$A:$A,"&lt;="&amp;$B$2))</f>
      </c>
      <c r="K97">
        <f>IF(H97="","",_xlfn.TEXTJOIN(", ",TRUE,_xlfn.UNIQUE(_xlfn.FILTER('기록'!$A:$A,(('기록'!$C:$C=H97)*('기록'!$A:$A&gt;=$B$1)*('기록'!$A:$A&lt;=$B$2))))))</f>
      </c>
      <c r="L97">
        <f>IF(H97="","",I97)</f>
      </c>
    </row>
    <row r="98" spans="1:12" x14ac:dyDescent="0.25">
      <c r="A98">
        <f>IFERROR(INDEX($N$5:$Q$204,94,1),"")</f>
      </c>
      <c r="B98">
        <f>IFERROR(INDEX($N$5:$Q$204,94,2),"")</f>
      </c>
      <c r="C98">
        <f>IFERROR(INDEX($N$5:$Q$204,94,3),"")</f>
      </c>
      <c r="D98">
        <f>IFERROR(INDEX($N$5:$Q$204,94,4),"")</f>
      </c>
      <c r="H98">
        <f>IFERROR(INDEX(_xlfn.UNIQUE(_xlfn.FILTER('기록'!$C$2:$C$181,('기록'!$C$2:$C$181&lt;&gt;"")*('기록'!$A$2:$A$181&gt;=$B$1)*('기록'!$A$2:$A$181&lt;=$B$2))),94),"")</f>
      </c>
      <c r="I98">
        <f>IF(H98="","",COUNTA(_xlfn.UNIQUE(_xlfn.FILTER('기록'!$A:$A,(('기록'!$C:$C=H98)*('기록'!$A:$A&gt;=$B$1)*('기록'!$A:$A&lt;=$B$2))))))</f>
      </c>
      <c r="J98">
        <f>IF(H98="","",COUNTIFS('기록'!$C:$C,H98,'기록'!$A:$A,"&gt;="&amp;$B$1,'기록'!$A:$A,"&lt;="&amp;$B$2))</f>
      </c>
      <c r="K98">
        <f>IF(H98="","",_xlfn.TEXTJOIN(", ",TRUE,_xlfn.UNIQUE(_xlfn.FILTER('기록'!$A:$A,(('기록'!$C:$C=H98)*('기록'!$A:$A&gt;=$B$1)*('기록'!$A:$A&lt;=$B$2))))))</f>
      </c>
      <c r="L98">
        <f>IF(H98="","",I98)</f>
      </c>
    </row>
    <row r="99" spans="1:12" x14ac:dyDescent="0.25">
      <c r="A99">
        <f>IFERROR(INDEX($N$5:$Q$204,95,1),"")</f>
      </c>
      <c r="B99">
        <f>IFERROR(INDEX($N$5:$Q$204,95,2),"")</f>
      </c>
      <c r="C99">
        <f>IFERROR(INDEX($N$5:$Q$204,95,3),"")</f>
      </c>
      <c r="D99">
        <f>IFERROR(INDEX($N$5:$Q$204,95,4),"")</f>
      </c>
      <c r="H99">
        <f>IFERROR(INDEX(_xlfn.UNIQUE(_xlfn.FILTER('기록'!$C$2:$C$181,('기록'!$C$2:$C$181&lt;&gt;"")*('기록'!$A$2:$A$181&gt;=$B$1)*('기록'!$A$2:$A$181&lt;=$B$2))),95),"")</f>
      </c>
      <c r="I99">
        <f>IF(H99="","",COUNTA(_xlfn.UNIQUE(_xlfn.FILTER('기록'!$A:$A,(('기록'!$C:$C=H99)*('기록'!$A:$A&gt;=$B$1)*('기록'!$A:$A&lt;=$B$2))))))</f>
      </c>
      <c r="J99">
        <f>IF(H99="","",COUNTIFS('기록'!$C:$C,H99,'기록'!$A:$A,"&gt;="&amp;$B$1,'기록'!$A:$A,"&lt;="&amp;$B$2))</f>
      </c>
      <c r="K99">
        <f>IF(H99="","",_xlfn.TEXTJOIN(", ",TRUE,_xlfn.UNIQUE(_xlfn.FILTER('기록'!$A:$A,(('기록'!$C:$C=H99)*('기록'!$A:$A&gt;=$B$1)*('기록'!$A:$A&lt;=$B$2))))))</f>
      </c>
      <c r="L99">
        <f>IF(H99="","",I99)</f>
      </c>
    </row>
    <row r="100" spans="1:12" x14ac:dyDescent="0.25">
      <c r="A100">
        <f>IFERROR(INDEX($N$5:$Q$204,96,1),"")</f>
      </c>
      <c r="B100">
        <f>IFERROR(INDEX($N$5:$Q$204,96,2),"")</f>
      </c>
      <c r="C100">
        <f>IFERROR(INDEX($N$5:$Q$204,96,3),"")</f>
      </c>
      <c r="D100">
        <f>IFERROR(INDEX($N$5:$Q$204,96,4),"")</f>
      </c>
      <c r="H100">
        <f>IFERROR(INDEX(_xlfn.UNIQUE(_xlfn.FILTER('기록'!$C$2:$C$181,('기록'!$C$2:$C$181&lt;&gt;"")*('기록'!$A$2:$A$181&gt;=$B$1)*('기록'!$A$2:$A$181&lt;=$B$2))),96),"")</f>
      </c>
      <c r="I100">
        <f>IF(H100="","",COUNTA(_xlfn.UNIQUE(_xlfn.FILTER('기록'!$A:$A,(('기록'!$C:$C=H100)*('기록'!$A:$A&gt;=$B$1)*('기록'!$A:$A&lt;=$B$2))))))</f>
      </c>
      <c r="J100">
        <f>IF(H100="","",COUNTIFS('기록'!$C:$C,H100,'기록'!$A:$A,"&gt;="&amp;$B$1,'기록'!$A:$A,"&lt;="&amp;$B$2))</f>
      </c>
      <c r="K100">
        <f>IF(H100="","",_xlfn.TEXTJOIN(", ",TRUE,_xlfn.UNIQUE(_xlfn.FILTER('기록'!$A:$A,(('기록'!$C:$C=H100)*('기록'!$A:$A&gt;=$B$1)*('기록'!$A:$A&lt;=$B$2))))))</f>
      </c>
      <c r="L100">
        <f>IF(H100="","",I100)</f>
      </c>
    </row>
    <row r="101" spans="1:12" x14ac:dyDescent="0.25">
      <c r="A101">
        <f>IFERROR(INDEX($N$5:$Q$204,97,1),"")</f>
      </c>
      <c r="B101">
        <f>IFERROR(INDEX($N$5:$Q$204,97,2),"")</f>
      </c>
      <c r="C101">
        <f>IFERROR(INDEX($N$5:$Q$204,97,3),"")</f>
      </c>
      <c r="D101">
        <f>IFERROR(INDEX($N$5:$Q$204,97,4),"")</f>
      </c>
      <c r="H101">
        <f>IFERROR(INDEX(_xlfn.UNIQUE(_xlfn.FILTER('기록'!$C$2:$C$181,('기록'!$C$2:$C$181&lt;&gt;"")*('기록'!$A$2:$A$181&gt;=$B$1)*('기록'!$A$2:$A$181&lt;=$B$2))),97),"")</f>
      </c>
      <c r="I101">
        <f>IF(H101="","",COUNTA(_xlfn.UNIQUE(_xlfn.FILTER('기록'!$A:$A,(('기록'!$C:$C=H101)*('기록'!$A:$A&gt;=$B$1)*('기록'!$A:$A&lt;=$B$2))))))</f>
      </c>
      <c r="J101">
        <f>IF(H101="","",COUNTIFS('기록'!$C:$C,H101,'기록'!$A:$A,"&gt;="&amp;$B$1,'기록'!$A:$A,"&lt;="&amp;$B$2))</f>
      </c>
      <c r="K101">
        <f>IF(H101="","",_xlfn.TEXTJOIN(", ",TRUE,_xlfn.UNIQUE(_xlfn.FILTER('기록'!$A:$A,(('기록'!$C:$C=H101)*('기록'!$A:$A&gt;=$B$1)*('기록'!$A:$A&lt;=$B$2))))))</f>
      </c>
      <c r="L101">
        <f>IF(H101="","",I101)</f>
      </c>
    </row>
    <row r="102" spans="1:12" x14ac:dyDescent="0.25">
      <c r="A102">
        <f>IFERROR(INDEX($N$5:$Q$204,98,1),"")</f>
      </c>
      <c r="B102">
        <f>IFERROR(INDEX($N$5:$Q$204,98,2),"")</f>
      </c>
      <c r="C102">
        <f>IFERROR(INDEX($N$5:$Q$204,98,3),"")</f>
      </c>
      <c r="D102">
        <f>IFERROR(INDEX($N$5:$Q$204,98,4),"")</f>
      </c>
      <c r="H102">
        <f>IFERROR(INDEX(_xlfn.UNIQUE(_xlfn.FILTER('기록'!$C$2:$C$181,('기록'!$C$2:$C$181&lt;&gt;"")*('기록'!$A$2:$A$181&gt;=$B$1)*('기록'!$A$2:$A$181&lt;=$B$2))),98),"")</f>
      </c>
      <c r="I102">
        <f>IF(H102="","",COUNTA(_xlfn.UNIQUE(_xlfn.FILTER('기록'!$A:$A,(('기록'!$C:$C=H102)*('기록'!$A:$A&gt;=$B$1)*('기록'!$A:$A&lt;=$B$2))))))</f>
      </c>
      <c r="J102">
        <f>IF(H102="","",COUNTIFS('기록'!$C:$C,H102,'기록'!$A:$A,"&gt;="&amp;$B$1,'기록'!$A:$A,"&lt;="&amp;$B$2))</f>
      </c>
      <c r="K102">
        <f>IF(H102="","",_xlfn.TEXTJOIN(", ",TRUE,_xlfn.UNIQUE(_xlfn.FILTER('기록'!$A:$A,(('기록'!$C:$C=H102)*('기록'!$A:$A&gt;=$B$1)*('기록'!$A:$A&lt;=$B$2))))))</f>
      </c>
      <c r="L102">
        <f>IF(H102="","",I102)</f>
      </c>
    </row>
    <row r="103" spans="1:12" x14ac:dyDescent="0.25">
      <c r="A103">
        <f>IFERROR(INDEX($N$5:$Q$204,99,1),"")</f>
      </c>
      <c r="B103">
        <f>IFERROR(INDEX($N$5:$Q$204,99,2),"")</f>
      </c>
      <c r="C103">
        <f>IFERROR(INDEX($N$5:$Q$204,99,3),"")</f>
      </c>
      <c r="D103">
        <f>IFERROR(INDEX($N$5:$Q$204,99,4),"")</f>
      </c>
      <c r="H103">
        <f>IFERROR(INDEX(_xlfn.UNIQUE(_xlfn.FILTER('기록'!$C$2:$C$181,('기록'!$C$2:$C$181&lt;&gt;"")*('기록'!$A$2:$A$181&gt;=$B$1)*('기록'!$A$2:$A$181&lt;=$B$2))),99),"")</f>
      </c>
      <c r="I103">
        <f>IF(H103="","",COUNTA(_xlfn.UNIQUE(_xlfn.FILTER('기록'!$A:$A,(('기록'!$C:$C=H103)*('기록'!$A:$A&gt;=$B$1)*('기록'!$A:$A&lt;=$B$2))))))</f>
      </c>
      <c r="J103">
        <f>IF(H103="","",COUNTIFS('기록'!$C:$C,H103,'기록'!$A:$A,"&gt;="&amp;$B$1,'기록'!$A:$A,"&lt;="&amp;$B$2))</f>
      </c>
      <c r="K103">
        <f>IF(H103="","",_xlfn.TEXTJOIN(", ",TRUE,_xlfn.UNIQUE(_xlfn.FILTER('기록'!$A:$A,(('기록'!$C:$C=H103)*('기록'!$A:$A&gt;=$B$1)*('기록'!$A:$A&lt;=$B$2))))))</f>
      </c>
      <c r="L103">
        <f>IF(H103="","",I103)</f>
      </c>
    </row>
    <row r="104" spans="1:12" x14ac:dyDescent="0.25">
      <c r="A104">
        <f>IFERROR(INDEX($N$5:$Q$204,100,1),"")</f>
      </c>
      <c r="B104">
        <f>IFERROR(INDEX($N$5:$Q$204,100,2),"")</f>
      </c>
      <c r="C104">
        <f>IFERROR(INDEX($N$5:$Q$204,100,3),"")</f>
      </c>
      <c r="D104">
        <f>IFERROR(INDEX($N$5:$Q$204,100,4),"")</f>
      </c>
      <c r="H104">
        <f>IFERROR(INDEX(_xlfn.UNIQUE(_xlfn.FILTER('기록'!$C$2:$C$181,('기록'!$C$2:$C$181&lt;&gt;"")*('기록'!$A$2:$A$181&gt;=$B$1)*('기록'!$A$2:$A$181&lt;=$B$2))),100),"")</f>
      </c>
      <c r="I104">
        <f>IF(H104="","",COUNTA(_xlfn.UNIQUE(_xlfn.FILTER('기록'!$A:$A,(('기록'!$C:$C=H104)*('기록'!$A:$A&gt;=$B$1)*('기록'!$A:$A&lt;=$B$2))))))</f>
      </c>
      <c r="J104">
        <f>IF(H104="","",COUNTIFS('기록'!$C:$C,H104,'기록'!$A:$A,"&gt;="&amp;$B$1,'기록'!$A:$A,"&lt;="&amp;$B$2))</f>
      </c>
      <c r="K104">
        <f>IF(H104="","",_xlfn.TEXTJOIN(", ",TRUE,_xlfn.UNIQUE(_xlfn.FILTER('기록'!$A:$A,(('기록'!$C:$C=H104)*('기록'!$A:$A&gt;=$B$1)*('기록'!$A:$A&lt;=$B$2))))))</f>
      </c>
      <c r="L104">
        <f>IF(H104="","",I104)</f>
      </c>
    </row>
    <row r="105" spans="1:12" x14ac:dyDescent="0.25">
      <c r="A105">
        <f>IFERROR(INDEX($N$5:$Q$204,101,1),"")</f>
      </c>
      <c r="B105">
        <f>IFERROR(INDEX($N$5:$Q$204,101,2),"")</f>
      </c>
      <c r="C105">
        <f>IFERROR(INDEX($N$5:$Q$204,101,3),"")</f>
      </c>
      <c r="D105">
        <f>IFERROR(INDEX($N$5:$Q$204,101,4),"")</f>
      </c>
      <c r="H105">
        <f>IFERROR(INDEX(_xlfn.UNIQUE(_xlfn.FILTER('기록'!$C$2:$C$181,('기록'!$C$2:$C$181&lt;&gt;"")*('기록'!$A$2:$A$181&gt;=$B$1)*('기록'!$A$2:$A$181&lt;=$B$2))),101),"")</f>
      </c>
      <c r="I105">
        <f>IF(H105="","",COUNTA(_xlfn.UNIQUE(_xlfn.FILTER('기록'!$A:$A,(('기록'!$C:$C=H105)*('기록'!$A:$A&gt;=$B$1)*('기록'!$A:$A&lt;=$B$2))))))</f>
      </c>
      <c r="J105">
        <f>IF(H105="","",COUNTIFS('기록'!$C:$C,H105,'기록'!$A:$A,"&gt;="&amp;$B$1,'기록'!$A:$A,"&lt;="&amp;$B$2))</f>
      </c>
      <c r="K105">
        <f>IF(H105="","",_xlfn.TEXTJOIN(", ",TRUE,_xlfn.UNIQUE(_xlfn.FILTER('기록'!$A:$A,(('기록'!$C:$C=H105)*('기록'!$A:$A&gt;=$B$1)*('기록'!$A:$A&lt;=$B$2))))))</f>
      </c>
      <c r="L105">
        <f>IF(H105="","",I105)</f>
      </c>
    </row>
    <row r="106" spans="1:12" x14ac:dyDescent="0.25">
      <c r="A106">
        <f>IFERROR(INDEX($N$5:$Q$204,102,1),"")</f>
      </c>
      <c r="B106">
        <f>IFERROR(INDEX($N$5:$Q$204,102,2),"")</f>
      </c>
      <c r="C106">
        <f>IFERROR(INDEX($N$5:$Q$204,102,3),"")</f>
      </c>
      <c r="D106">
        <f>IFERROR(INDEX($N$5:$Q$204,102,4),"")</f>
      </c>
      <c r="H106">
        <f>IFERROR(INDEX(_xlfn.UNIQUE(_xlfn.FILTER('기록'!$C$2:$C$181,('기록'!$C$2:$C$181&lt;&gt;"")*('기록'!$A$2:$A$181&gt;=$B$1)*('기록'!$A$2:$A$181&lt;=$B$2))),102),"")</f>
      </c>
      <c r="I106">
        <f>IF(H106="","",COUNTA(_xlfn.UNIQUE(_xlfn.FILTER('기록'!$A:$A,(('기록'!$C:$C=H106)*('기록'!$A:$A&gt;=$B$1)*('기록'!$A:$A&lt;=$B$2))))))</f>
      </c>
      <c r="J106">
        <f>IF(H106="","",COUNTIFS('기록'!$C:$C,H106,'기록'!$A:$A,"&gt;="&amp;$B$1,'기록'!$A:$A,"&lt;="&amp;$B$2))</f>
      </c>
      <c r="K106">
        <f>IF(H106="","",_xlfn.TEXTJOIN(", ",TRUE,_xlfn.UNIQUE(_xlfn.FILTER('기록'!$A:$A,(('기록'!$C:$C=H106)*('기록'!$A:$A&gt;=$B$1)*('기록'!$A:$A&lt;=$B$2))))))</f>
      </c>
      <c r="L106">
        <f>IF(H106="","",I106)</f>
      </c>
    </row>
    <row r="107" spans="1:12" x14ac:dyDescent="0.25">
      <c r="A107">
        <f>IFERROR(INDEX($N$5:$Q$204,103,1),"")</f>
      </c>
      <c r="B107">
        <f>IFERROR(INDEX($N$5:$Q$204,103,2),"")</f>
      </c>
      <c r="C107">
        <f>IFERROR(INDEX($N$5:$Q$204,103,3),"")</f>
      </c>
      <c r="D107">
        <f>IFERROR(INDEX($N$5:$Q$204,103,4),"")</f>
      </c>
      <c r="H107">
        <f>IFERROR(INDEX(_xlfn.UNIQUE(_xlfn.FILTER('기록'!$C$2:$C$181,('기록'!$C$2:$C$181&lt;&gt;"")*('기록'!$A$2:$A$181&gt;=$B$1)*('기록'!$A$2:$A$181&lt;=$B$2))),103),"")</f>
      </c>
      <c r="I107">
        <f>IF(H107="","",COUNTA(_xlfn.UNIQUE(_xlfn.FILTER('기록'!$A:$A,(('기록'!$C:$C=H107)*('기록'!$A:$A&gt;=$B$1)*('기록'!$A:$A&lt;=$B$2))))))</f>
      </c>
      <c r="J107">
        <f>IF(H107="","",COUNTIFS('기록'!$C:$C,H107,'기록'!$A:$A,"&gt;="&amp;$B$1,'기록'!$A:$A,"&lt;="&amp;$B$2))</f>
      </c>
      <c r="K107">
        <f>IF(H107="","",_xlfn.TEXTJOIN(", ",TRUE,_xlfn.UNIQUE(_xlfn.FILTER('기록'!$A:$A,(('기록'!$C:$C=H107)*('기록'!$A:$A&gt;=$B$1)*('기록'!$A:$A&lt;=$B$2))))))</f>
      </c>
      <c r="L107">
        <f>IF(H107="","",I107)</f>
      </c>
    </row>
    <row r="108" spans="1:12" x14ac:dyDescent="0.25">
      <c r="A108">
        <f>IFERROR(INDEX($N$5:$Q$204,104,1),"")</f>
      </c>
      <c r="B108">
        <f>IFERROR(INDEX($N$5:$Q$204,104,2),"")</f>
      </c>
      <c r="C108">
        <f>IFERROR(INDEX($N$5:$Q$204,104,3),"")</f>
      </c>
      <c r="D108">
        <f>IFERROR(INDEX($N$5:$Q$204,104,4),"")</f>
      </c>
      <c r="H108">
        <f>IFERROR(INDEX(_xlfn.UNIQUE(_xlfn.FILTER('기록'!$C$2:$C$181,('기록'!$C$2:$C$181&lt;&gt;"")*('기록'!$A$2:$A$181&gt;=$B$1)*('기록'!$A$2:$A$181&lt;=$B$2))),104),"")</f>
      </c>
      <c r="I108">
        <f>IF(H108="","",COUNTA(_xlfn.UNIQUE(_xlfn.FILTER('기록'!$A:$A,(('기록'!$C:$C=H108)*('기록'!$A:$A&gt;=$B$1)*('기록'!$A:$A&lt;=$B$2))))))</f>
      </c>
      <c r="J108">
        <f>IF(H108="","",COUNTIFS('기록'!$C:$C,H108,'기록'!$A:$A,"&gt;="&amp;$B$1,'기록'!$A:$A,"&lt;="&amp;$B$2))</f>
      </c>
      <c r="K108">
        <f>IF(H108="","",_xlfn.TEXTJOIN(", ",TRUE,_xlfn.UNIQUE(_xlfn.FILTER('기록'!$A:$A,(('기록'!$C:$C=H108)*('기록'!$A:$A&gt;=$B$1)*('기록'!$A:$A&lt;=$B$2))))))</f>
      </c>
      <c r="L108">
        <f>IF(H108="","",I108)</f>
      </c>
    </row>
    <row r="109" spans="1:12" x14ac:dyDescent="0.25">
      <c r="A109">
        <f>IFERROR(INDEX($N$5:$Q$204,105,1),"")</f>
      </c>
      <c r="B109">
        <f>IFERROR(INDEX($N$5:$Q$204,105,2),"")</f>
      </c>
      <c r="C109">
        <f>IFERROR(INDEX($N$5:$Q$204,105,3),"")</f>
      </c>
      <c r="D109">
        <f>IFERROR(INDEX($N$5:$Q$204,105,4),"")</f>
      </c>
      <c r="H109">
        <f>IFERROR(INDEX(_xlfn.UNIQUE(_xlfn.FILTER('기록'!$C$2:$C$181,('기록'!$C$2:$C$181&lt;&gt;"")*('기록'!$A$2:$A$181&gt;=$B$1)*('기록'!$A$2:$A$181&lt;=$B$2))),105),"")</f>
      </c>
      <c r="I109">
        <f>IF(H109="","",COUNTA(_xlfn.UNIQUE(_xlfn.FILTER('기록'!$A:$A,(('기록'!$C:$C=H109)*('기록'!$A:$A&gt;=$B$1)*('기록'!$A:$A&lt;=$B$2))))))</f>
      </c>
      <c r="J109">
        <f>IF(H109="","",COUNTIFS('기록'!$C:$C,H109,'기록'!$A:$A,"&gt;="&amp;$B$1,'기록'!$A:$A,"&lt;="&amp;$B$2))</f>
      </c>
      <c r="K109">
        <f>IF(H109="","",_xlfn.TEXTJOIN(", ",TRUE,_xlfn.UNIQUE(_xlfn.FILTER('기록'!$A:$A,(('기록'!$C:$C=H109)*('기록'!$A:$A&gt;=$B$1)*('기록'!$A:$A&lt;=$B$2))))))</f>
      </c>
      <c r="L109">
        <f>IF(H109="","",I109)</f>
      </c>
    </row>
    <row r="110" spans="1:12" x14ac:dyDescent="0.25">
      <c r="A110">
        <f>IFERROR(INDEX($N$5:$Q$204,106,1),"")</f>
      </c>
      <c r="B110">
        <f>IFERROR(INDEX($N$5:$Q$204,106,2),"")</f>
      </c>
      <c r="C110">
        <f>IFERROR(INDEX($N$5:$Q$204,106,3),"")</f>
      </c>
      <c r="D110">
        <f>IFERROR(INDEX($N$5:$Q$204,106,4),"")</f>
      </c>
      <c r="H110">
        <f>IFERROR(INDEX(_xlfn.UNIQUE(_xlfn.FILTER('기록'!$C$2:$C$181,('기록'!$C$2:$C$181&lt;&gt;"")*('기록'!$A$2:$A$181&gt;=$B$1)*('기록'!$A$2:$A$181&lt;=$B$2))),106),"")</f>
      </c>
      <c r="I110">
        <f>IF(H110="","",COUNTA(_xlfn.UNIQUE(_xlfn.FILTER('기록'!$A:$A,(('기록'!$C:$C=H110)*('기록'!$A:$A&gt;=$B$1)*('기록'!$A:$A&lt;=$B$2))))))</f>
      </c>
      <c r="J110">
        <f>IF(H110="","",COUNTIFS('기록'!$C:$C,H110,'기록'!$A:$A,"&gt;="&amp;$B$1,'기록'!$A:$A,"&lt;="&amp;$B$2))</f>
      </c>
      <c r="K110">
        <f>IF(H110="","",_xlfn.TEXTJOIN(", ",TRUE,_xlfn.UNIQUE(_xlfn.FILTER('기록'!$A:$A,(('기록'!$C:$C=H110)*('기록'!$A:$A&gt;=$B$1)*('기록'!$A:$A&lt;=$B$2))))))</f>
      </c>
      <c r="L110">
        <f>IF(H110="","",I110)</f>
      </c>
    </row>
    <row r="111" spans="1:12" x14ac:dyDescent="0.25">
      <c r="A111">
        <f>IFERROR(INDEX($N$5:$Q$204,107,1),"")</f>
      </c>
      <c r="B111">
        <f>IFERROR(INDEX($N$5:$Q$204,107,2),"")</f>
      </c>
      <c r="C111">
        <f>IFERROR(INDEX($N$5:$Q$204,107,3),"")</f>
      </c>
      <c r="D111">
        <f>IFERROR(INDEX($N$5:$Q$204,107,4),"")</f>
      </c>
      <c r="H111">
        <f>IFERROR(INDEX(_xlfn.UNIQUE(_xlfn.FILTER('기록'!$C$2:$C$181,('기록'!$C$2:$C$181&lt;&gt;"")*('기록'!$A$2:$A$181&gt;=$B$1)*('기록'!$A$2:$A$181&lt;=$B$2))),107),"")</f>
      </c>
      <c r="I111">
        <f>IF(H111="","",COUNTA(_xlfn.UNIQUE(_xlfn.FILTER('기록'!$A:$A,(('기록'!$C:$C=H111)*('기록'!$A:$A&gt;=$B$1)*('기록'!$A:$A&lt;=$B$2))))))</f>
      </c>
      <c r="J111">
        <f>IF(H111="","",COUNTIFS('기록'!$C:$C,H111,'기록'!$A:$A,"&gt;="&amp;$B$1,'기록'!$A:$A,"&lt;="&amp;$B$2))</f>
      </c>
      <c r="K111">
        <f>IF(H111="","",_xlfn.TEXTJOIN(", ",TRUE,_xlfn.UNIQUE(_xlfn.FILTER('기록'!$A:$A,(('기록'!$C:$C=H111)*('기록'!$A:$A&gt;=$B$1)*('기록'!$A:$A&lt;=$B$2))))))</f>
      </c>
      <c r="L111">
        <f>IF(H111="","",I111)</f>
      </c>
    </row>
    <row r="112" spans="1:12" x14ac:dyDescent="0.25">
      <c r="A112">
        <f>IFERROR(INDEX($N$5:$Q$204,108,1),"")</f>
      </c>
      <c r="B112">
        <f>IFERROR(INDEX($N$5:$Q$204,108,2),"")</f>
      </c>
      <c r="C112">
        <f>IFERROR(INDEX($N$5:$Q$204,108,3),"")</f>
      </c>
      <c r="D112">
        <f>IFERROR(INDEX($N$5:$Q$204,108,4),"")</f>
      </c>
      <c r="H112">
        <f>IFERROR(INDEX(_xlfn.UNIQUE(_xlfn.FILTER('기록'!$C$2:$C$181,('기록'!$C$2:$C$181&lt;&gt;"")*('기록'!$A$2:$A$181&gt;=$B$1)*('기록'!$A$2:$A$181&lt;=$B$2))),108),"")</f>
      </c>
      <c r="I112">
        <f>IF(H112="","",COUNTA(_xlfn.UNIQUE(_xlfn.FILTER('기록'!$A:$A,(('기록'!$C:$C=H112)*('기록'!$A:$A&gt;=$B$1)*('기록'!$A:$A&lt;=$B$2))))))</f>
      </c>
      <c r="J112">
        <f>IF(H112="","",COUNTIFS('기록'!$C:$C,H112,'기록'!$A:$A,"&gt;="&amp;$B$1,'기록'!$A:$A,"&lt;="&amp;$B$2))</f>
      </c>
      <c r="K112">
        <f>IF(H112="","",_xlfn.TEXTJOIN(", ",TRUE,_xlfn.UNIQUE(_xlfn.FILTER('기록'!$A:$A,(('기록'!$C:$C=H112)*('기록'!$A:$A&gt;=$B$1)*('기록'!$A:$A&lt;=$B$2))))))</f>
      </c>
      <c r="L112">
        <f>IF(H112="","",I112)</f>
      </c>
    </row>
    <row r="113" spans="1:12" x14ac:dyDescent="0.25">
      <c r="A113">
        <f>IFERROR(INDEX($N$5:$Q$204,109,1),"")</f>
      </c>
      <c r="B113">
        <f>IFERROR(INDEX($N$5:$Q$204,109,2),"")</f>
      </c>
      <c r="C113">
        <f>IFERROR(INDEX($N$5:$Q$204,109,3),"")</f>
      </c>
      <c r="D113">
        <f>IFERROR(INDEX($N$5:$Q$204,109,4),"")</f>
      </c>
      <c r="H113">
        <f>IFERROR(INDEX(_xlfn.UNIQUE(_xlfn.FILTER('기록'!$C$2:$C$181,('기록'!$C$2:$C$181&lt;&gt;"")*('기록'!$A$2:$A$181&gt;=$B$1)*('기록'!$A$2:$A$181&lt;=$B$2))),109),"")</f>
      </c>
      <c r="I113">
        <f>IF(H113="","",COUNTA(_xlfn.UNIQUE(_xlfn.FILTER('기록'!$A:$A,(('기록'!$C:$C=H113)*('기록'!$A:$A&gt;=$B$1)*('기록'!$A:$A&lt;=$B$2))))))</f>
      </c>
      <c r="J113">
        <f>IF(H113="","",COUNTIFS('기록'!$C:$C,H113,'기록'!$A:$A,"&gt;="&amp;$B$1,'기록'!$A:$A,"&lt;="&amp;$B$2))</f>
      </c>
      <c r="K113">
        <f>IF(H113="","",_xlfn.TEXTJOIN(", ",TRUE,_xlfn.UNIQUE(_xlfn.FILTER('기록'!$A:$A,(('기록'!$C:$C=H113)*('기록'!$A:$A&gt;=$B$1)*('기록'!$A:$A&lt;=$B$2))))))</f>
      </c>
      <c r="L113">
        <f>IF(H113="","",I113)</f>
      </c>
    </row>
    <row r="114" spans="1:12" x14ac:dyDescent="0.25">
      <c r="A114">
        <f>IFERROR(INDEX($N$5:$Q$204,110,1),"")</f>
      </c>
      <c r="B114">
        <f>IFERROR(INDEX($N$5:$Q$204,110,2),"")</f>
      </c>
      <c r="C114">
        <f>IFERROR(INDEX($N$5:$Q$204,110,3),"")</f>
      </c>
      <c r="D114">
        <f>IFERROR(INDEX($N$5:$Q$204,110,4),"")</f>
      </c>
      <c r="H114">
        <f>IFERROR(INDEX(_xlfn.UNIQUE(_xlfn.FILTER('기록'!$C$2:$C$181,('기록'!$C$2:$C$181&lt;&gt;"")*('기록'!$A$2:$A$181&gt;=$B$1)*('기록'!$A$2:$A$181&lt;=$B$2))),110),"")</f>
      </c>
      <c r="I114">
        <f>IF(H114="","",COUNTA(_xlfn.UNIQUE(_xlfn.FILTER('기록'!$A:$A,(('기록'!$C:$C=H114)*('기록'!$A:$A&gt;=$B$1)*('기록'!$A:$A&lt;=$B$2))))))</f>
      </c>
      <c r="J114">
        <f>IF(H114="","",COUNTIFS('기록'!$C:$C,H114,'기록'!$A:$A,"&gt;="&amp;$B$1,'기록'!$A:$A,"&lt;="&amp;$B$2))</f>
      </c>
      <c r="K114">
        <f>IF(H114="","",_xlfn.TEXTJOIN(", ",TRUE,_xlfn.UNIQUE(_xlfn.FILTER('기록'!$A:$A,(('기록'!$C:$C=H114)*('기록'!$A:$A&gt;=$B$1)*('기록'!$A:$A&lt;=$B$2))))))</f>
      </c>
      <c r="L114">
        <f>IF(H114="","",I114)</f>
      </c>
    </row>
    <row r="115" spans="1:12" x14ac:dyDescent="0.25">
      <c r="A115">
        <f>IFERROR(INDEX($N$5:$Q$204,111,1),"")</f>
      </c>
      <c r="B115">
        <f>IFERROR(INDEX($N$5:$Q$204,111,2),"")</f>
      </c>
      <c r="C115">
        <f>IFERROR(INDEX($N$5:$Q$204,111,3),"")</f>
      </c>
      <c r="D115">
        <f>IFERROR(INDEX($N$5:$Q$204,111,4),"")</f>
      </c>
      <c r="H115">
        <f>IFERROR(INDEX(_xlfn.UNIQUE(_xlfn.FILTER('기록'!$C$2:$C$181,('기록'!$C$2:$C$181&lt;&gt;"")*('기록'!$A$2:$A$181&gt;=$B$1)*('기록'!$A$2:$A$181&lt;=$B$2))),111),"")</f>
      </c>
      <c r="I115">
        <f>IF(H115="","",COUNTA(_xlfn.UNIQUE(_xlfn.FILTER('기록'!$A:$A,(('기록'!$C:$C=H115)*('기록'!$A:$A&gt;=$B$1)*('기록'!$A:$A&lt;=$B$2))))))</f>
      </c>
      <c r="J115">
        <f>IF(H115="","",COUNTIFS('기록'!$C:$C,H115,'기록'!$A:$A,"&gt;="&amp;$B$1,'기록'!$A:$A,"&lt;="&amp;$B$2))</f>
      </c>
      <c r="K115">
        <f>IF(H115="","",_xlfn.TEXTJOIN(", ",TRUE,_xlfn.UNIQUE(_xlfn.FILTER('기록'!$A:$A,(('기록'!$C:$C=H115)*('기록'!$A:$A&gt;=$B$1)*('기록'!$A:$A&lt;=$B$2))))))</f>
      </c>
      <c r="L115">
        <f>IF(H115="","",I115)</f>
      </c>
    </row>
    <row r="116" spans="1:12" x14ac:dyDescent="0.25">
      <c r="A116">
        <f>IFERROR(INDEX($N$5:$Q$204,112,1),"")</f>
      </c>
      <c r="B116">
        <f>IFERROR(INDEX($N$5:$Q$204,112,2),"")</f>
      </c>
      <c r="C116">
        <f>IFERROR(INDEX($N$5:$Q$204,112,3),"")</f>
      </c>
      <c r="D116">
        <f>IFERROR(INDEX($N$5:$Q$204,112,4),"")</f>
      </c>
      <c r="H116">
        <f>IFERROR(INDEX(_xlfn.UNIQUE(_xlfn.FILTER('기록'!$C$2:$C$181,('기록'!$C$2:$C$181&lt;&gt;"")*('기록'!$A$2:$A$181&gt;=$B$1)*('기록'!$A$2:$A$181&lt;=$B$2))),112),"")</f>
      </c>
      <c r="I116">
        <f>IF(H116="","",COUNTA(_xlfn.UNIQUE(_xlfn.FILTER('기록'!$A:$A,(('기록'!$C:$C=H116)*('기록'!$A:$A&gt;=$B$1)*('기록'!$A:$A&lt;=$B$2))))))</f>
      </c>
      <c r="J116">
        <f>IF(H116="","",COUNTIFS('기록'!$C:$C,H116,'기록'!$A:$A,"&gt;="&amp;$B$1,'기록'!$A:$A,"&lt;="&amp;$B$2))</f>
      </c>
      <c r="K116">
        <f>IF(H116="","",_xlfn.TEXTJOIN(", ",TRUE,_xlfn.UNIQUE(_xlfn.FILTER('기록'!$A:$A,(('기록'!$C:$C=H116)*('기록'!$A:$A&gt;=$B$1)*('기록'!$A:$A&lt;=$B$2))))))</f>
      </c>
      <c r="L116">
        <f>IF(H116="","",I116)</f>
      </c>
    </row>
    <row r="117" spans="1:12" x14ac:dyDescent="0.25">
      <c r="A117">
        <f>IFERROR(INDEX($N$5:$Q$204,113,1),"")</f>
      </c>
      <c r="B117">
        <f>IFERROR(INDEX($N$5:$Q$204,113,2),"")</f>
      </c>
      <c r="C117">
        <f>IFERROR(INDEX($N$5:$Q$204,113,3),"")</f>
      </c>
      <c r="D117">
        <f>IFERROR(INDEX($N$5:$Q$204,113,4),"")</f>
      </c>
      <c r="H117">
        <f>IFERROR(INDEX(_xlfn.UNIQUE(_xlfn.FILTER('기록'!$C$2:$C$181,('기록'!$C$2:$C$181&lt;&gt;"")*('기록'!$A$2:$A$181&gt;=$B$1)*('기록'!$A$2:$A$181&lt;=$B$2))),113),"")</f>
      </c>
      <c r="I117">
        <f>IF(H117="","",COUNTA(_xlfn.UNIQUE(_xlfn.FILTER('기록'!$A:$A,(('기록'!$C:$C=H117)*('기록'!$A:$A&gt;=$B$1)*('기록'!$A:$A&lt;=$B$2))))))</f>
      </c>
      <c r="J117">
        <f>IF(H117="","",COUNTIFS('기록'!$C:$C,H117,'기록'!$A:$A,"&gt;="&amp;$B$1,'기록'!$A:$A,"&lt;="&amp;$B$2))</f>
      </c>
      <c r="K117">
        <f>IF(H117="","",_xlfn.TEXTJOIN(", ",TRUE,_xlfn.UNIQUE(_xlfn.FILTER('기록'!$A:$A,(('기록'!$C:$C=H117)*('기록'!$A:$A&gt;=$B$1)*('기록'!$A:$A&lt;=$B$2))))))</f>
      </c>
      <c r="L117">
        <f>IF(H117="","",I117)</f>
      </c>
    </row>
    <row r="118" spans="1:12" x14ac:dyDescent="0.25">
      <c r="A118">
        <f>IFERROR(INDEX($N$5:$Q$204,114,1),"")</f>
      </c>
      <c r="B118">
        <f>IFERROR(INDEX($N$5:$Q$204,114,2),"")</f>
      </c>
      <c r="C118">
        <f>IFERROR(INDEX($N$5:$Q$204,114,3),"")</f>
      </c>
      <c r="D118">
        <f>IFERROR(INDEX($N$5:$Q$204,114,4),"")</f>
      </c>
      <c r="H118">
        <f>IFERROR(INDEX(_xlfn.UNIQUE(_xlfn.FILTER('기록'!$C$2:$C$181,('기록'!$C$2:$C$181&lt;&gt;"")*('기록'!$A$2:$A$181&gt;=$B$1)*('기록'!$A$2:$A$181&lt;=$B$2))),114),"")</f>
      </c>
      <c r="I118">
        <f>IF(H118="","",COUNTA(_xlfn.UNIQUE(_xlfn.FILTER('기록'!$A:$A,(('기록'!$C:$C=H118)*('기록'!$A:$A&gt;=$B$1)*('기록'!$A:$A&lt;=$B$2))))))</f>
      </c>
      <c r="J118">
        <f>IF(H118="","",COUNTIFS('기록'!$C:$C,H118,'기록'!$A:$A,"&gt;="&amp;$B$1,'기록'!$A:$A,"&lt;="&amp;$B$2))</f>
      </c>
      <c r="K118">
        <f>IF(H118="","",_xlfn.TEXTJOIN(", ",TRUE,_xlfn.UNIQUE(_xlfn.FILTER('기록'!$A:$A,(('기록'!$C:$C=H118)*('기록'!$A:$A&gt;=$B$1)*('기록'!$A:$A&lt;=$B$2))))))</f>
      </c>
      <c r="L118">
        <f>IF(H118="","",I118)</f>
      </c>
    </row>
    <row r="119" spans="1:12" x14ac:dyDescent="0.25">
      <c r="A119">
        <f>IFERROR(INDEX($N$5:$Q$204,115,1),"")</f>
      </c>
      <c r="B119">
        <f>IFERROR(INDEX($N$5:$Q$204,115,2),"")</f>
      </c>
      <c r="C119">
        <f>IFERROR(INDEX($N$5:$Q$204,115,3),"")</f>
      </c>
      <c r="D119">
        <f>IFERROR(INDEX($N$5:$Q$204,115,4),"")</f>
      </c>
      <c r="H119">
        <f>IFERROR(INDEX(_xlfn.UNIQUE(_xlfn.FILTER('기록'!$C$2:$C$181,('기록'!$C$2:$C$181&lt;&gt;"")*('기록'!$A$2:$A$181&gt;=$B$1)*('기록'!$A$2:$A$181&lt;=$B$2))),115),"")</f>
      </c>
      <c r="I119">
        <f>IF(H119="","",COUNTA(_xlfn.UNIQUE(_xlfn.FILTER('기록'!$A:$A,(('기록'!$C:$C=H119)*('기록'!$A:$A&gt;=$B$1)*('기록'!$A:$A&lt;=$B$2))))))</f>
      </c>
      <c r="J119">
        <f>IF(H119="","",COUNTIFS('기록'!$C:$C,H119,'기록'!$A:$A,"&gt;="&amp;$B$1,'기록'!$A:$A,"&lt;="&amp;$B$2))</f>
      </c>
      <c r="K119">
        <f>IF(H119="","",_xlfn.TEXTJOIN(", ",TRUE,_xlfn.UNIQUE(_xlfn.FILTER('기록'!$A:$A,(('기록'!$C:$C=H119)*('기록'!$A:$A&gt;=$B$1)*('기록'!$A:$A&lt;=$B$2))))))</f>
      </c>
      <c r="L119">
        <f>IF(H119="","",I119)</f>
      </c>
    </row>
    <row r="120" spans="1:12" x14ac:dyDescent="0.25">
      <c r="A120">
        <f>IFERROR(INDEX($N$5:$Q$204,116,1),"")</f>
      </c>
      <c r="B120">
        <f>IFERROR(INDEX($N$5:$Q$204,116,2),"")</f>
      </c>
      <c r="C120">
        <f>IFERROR(INDEX($N$5:$Q$204,116,3),"")</f>
      </c>
      <c r="D120">
        <f>IFERROR(INDEX($N$5:$Q$204,116,4),"")</f>
      </c>
      <c r="H120">
        <f>IFERROR(INDEX(_xlfn.UNIQUE(_xlfn.FILTER('기록'!$C$2:$C$181,('기록'!$C$2:$C$181&lt;&gt;"")*('기록'!$A$2:$A$181&gt;=$B$1)*('기록'!$A$2:$A$181&lt;=$B$2))),116),"")</f>
      </c>
      <c r="I120">
        <f>IF(H120="","",COUNTA(_xlfn.UNIQUE(_xlfn.FILTER('기록'!$A:$A,(('기록'!$C:$C=H120)*('기록'!$A:$A&gt;=$B$1)*('기록'!$A:$A&lt;=$B$2))))))</f>
      </c>
      <c r="J120">
        <f>IF(H120="","",COUNTIFS('기록'!$C:$C,H120,'기록'!$A:$A,"&gt;="&amp;$B$1,'기록'!$A:$A,"&lt;="&amp;$B$2))</f>
      </c>
      <c r="K120">
        <f>IF(H120="","",_xlfn.TEXTJOIN(", ",TRUE,_xlfn.UNIQUE(_xlfn.FILTER('기록'!$A:$A,(('기록'!$C:$C=H120)*('기록'!$A:$A&gt;=$B$1)*('기록'!$A:$A&lt;=$B$2))))))</f>
      </c>
      <c r="L120">
        <f>IF(H120="","",I120)</f>
      </c>
    </row>
    <row r="121" spans="1:12" x14ac:dyDescent="0.25">
      <c r="A121">
        <f>IFERROR(INDEX($N$5:$Q$204,117,1),"")</f>
      </c>
      <c r="B121">
        <f>IFERROR(INDEX($N$5:$Q$204,117,2),"")</f>
      </c>
      <c r="C121">
        <f>IFERROR(INDEX($N$5:$Q$204,117,3),"")</f>
      </c>
      <c r="D121">
        <f>IFERROR(INDEX($N$5:$Q$204,117,4),"")</f>
      </c>
      <c r="H121">
        <f>IFERROR(INDEX(_xlfn.UNIQUE(_xlfn.FILTER('기록'!$C$2:$C$181,('기록'!$C$2:$C$181&lt;&gt;"")*('기록'!$A$2:$A$181&gt;=$B$1)*('기록'!$A$2:$A$181&lt;=$B$2))),117),"")</f>
      </c>
      <c r="I121">
        <f>IF(H121="","",COUNTA(_xlfn.UNIQUE(_xlfn.FILTER('기록'!$A:$A,(('기록'!$C:$C=H121)*('기록'!$A:$A&gt;=$B$1)*('기록'!$A:$A&lt;=$B$2))))))</f>
      </c>
      <c r="J121">
        <f>IF(H121="","",COUNTIFS('기록'!$C:$C,H121,'기록'!$A:$A,"&gt;="&amp;$B$1,'기록'!$A:$A,"&lt;="&amp;$B$2))</f>
      </c>
      <c r="K121">
        <f>IF(H121="","",_xlfn.TEXTJOIN(", ",TRUE,_xlfn.UNIQUE(_xlfn.FILTER('기록'!$A:$A,(('기록'!$C:$C=H121)*('기록'!$A:$A&gt;=$B$1)*('기록'!$A:$A&lt;=$B$2))))))</f>
      </c>
      <c r="L121">
        <f>IF(H121="","",I121)</f>
      </c>
    </row>
    <row r="122" spans="1:12" x14ac:dyDescent="0.25">
      <c r="A122">
        <f>IFERROR(INDEX($N$5:$Q$204,118,1),"")</f>
      </c>
      <c r="B122">
        <f>IFERROR(INDEX($N$5:$Q$204,118,2),"")</f>
      </c>
      <c r="C122">
        <f>IFERROR(INDEX($N$5:$Q$204,118,3),"")</f>
      </c>
      <c r="D122">
        <f>IFERROR(INDEX($N$5:$Q$204,118,4),"")</f>
      </c>
      <c r="H122">
        <f>IFERROR(INDEX(_xlfn.UNIQUE(_xlfn.FILTER('기록'!$C$2:$C$181,('기록'!$C$2:$C$181&lt;&gt;"")*('기록'!$A$2:$A$181&gt;=$B$1)*('기록'!$A$2:$A$181&lt;=$B$2))),118),"")</f>
      </c>
      <c r="I122">
        <f>IF(H122="","",COUNTA(_xlfn.UNIQUE(_xlfn.FILTER('기록'!$A:$A,(('기록'!$C:$C=H122)*('기록'!$A:$A&gt;=$B$1)*('기록'!$A:$A&lt;=$B$2))))))</f>
      </c>
      <c r="J122">
        <f>IF(H122="","",COUNTIFS('기록'!$C:$C,H122,'기록'!$A:$A,"&gt;="&amp;$B$1,'기록'!$A:$A,"&lt;="&amp;$B$2))</f>
      </c>
      <c r="K122">
        <f>IF(H122="","",_xlfn.TEXTJOIN(", ",TRUE,_xlfn.UNIQUE(_xlfn.FILTER('기록'!$A:$A,(('기록'!$C:$C=H122)*('기록'!$A:$A&gt;=$B$1)*('기록'!$A:$A&lt;=$B$2))))))</f>
      </c>
      <c r="L122">
        <f>IF(H122="","",I122)</f>
      </c>
    </row>
    <row r="123" spans="1:12" x14ac:dyDescent="0.25">
      <c r="A123">
        <f>IFERROR(INDEX($N$5:$Q$204,119,1),"")</f>
      </c>
      <c r="B123">
        <f>IFERROR(INDEX($N$5:$Q$204,119,2),"")</f>
      </c>
      <c r="C123">
        <f>IFERROR(INDEX($N$5:$Q$204,119,3),"")</f>
      </c>
      <c r="D123">
        <f>IFERROR(INDEX($N$5:$Q$204,119,4),"")</f>
      </c>
      <c r="H123">
        <f>IFERROR(INDEX(_xlfn.UNIQUE(_xlfn.FILTER('기록'!$C$2:$C$181,('기록'!$C$2:$C$181&lt;&gt;"")*('기록'!$A$2:$A$181&gt;=$B$1)*('기록'!$A$2:$A$181&lt;=$B$2))),119),"")</f>
      </c>
      <c r="I123">
        <f>IF(H123="","",COUNTA(_xlfn.UNIQUE(_xlfn.FILTER('기록'!$A:$A,(('기록'!$C:$C=H123)*('기록'!$A:$A&gt;=$B$1)*('기록'!$A:$A&lt;=$B$2))))))</f>
      </c>
      <c r="J123">
        <f>IF(H123="","",COUNTIFS('기록'!$C:$C,H123,'기록'!$A:$A,"&gt;="&amp;$B$1,'기록'!$A:$A,"&lt;="&amp;$B$2))</f>
      </c>
      <c r="K123">
        <f>IF(H123="","",_xlfn.TEXTJOIN(", ",TRUE,_xlfn.UNIQUE(_xlfn.FILTER('기록'!$A:$A,(('기록'!$C:$C=H123)*('기록'!$A:$A&gt;=$B$1)*('기록'!$A:$A&lt;=$B$2))))))</f>
      </c>
      <c r="L123">
        <f>IF(H123="","",I123)</f>
      </c>
    </row>
    <row r="124" spans="1:12" x14ac:dyDescent="0.25">
      <c r="A124">
        <f>IFERROR(INDEX($N$5:$Q$204,120,1),"")</f>
      </c>
      <c r="B124">
        <f>IFERROR(INDEX($N$5:$Q$204,120,2),"")</f>
      </c>
      <c r="C124">
        <f>IFERROR(INDEX($N$5:$Q$204,120,3),"")</f>
      </c>
      <c r="D124">
        <f>IFERROR(INDEX($N$5:$Q$204,120,4),"")</f>
      </c>
      <c r="H124">
        <f>IFERROR(INDEX(_xlfn.UNIQUE(_xlfn.FILTER('기록'!$C$2:$C$181,('기록'!$C$2:$C$181&lt;&gt;"")*('기록'!$A$2:$A$181&gt;=$B$1)*('기록'!$A$2:$A$181&lt;=$B$2))),120),"")</f>
      </c>
      <c r="I124">
        <f>IF(H124="","",COUNTA(_xlfn.UNIQUE(_xlfn.FILTER('기록'!$A:$A,(('기록'!$C:$C=H124)*('기록'!$A:$A&gt;=$B$1)*('기록'!$A:$A&lt;=$B$2))))))</f>
      </c>
      <c r="J124">
        <f>IF(H124="","",COUNTIFS('기록'!$C:$C,H124,'기록'!$A:$A,"&gt;="&amp;$B$1,'기록'!$A:$A,"&lt;="&amp;$B$2))</f>
      </c>
      <c r="K124">
        <f>IF(H124="","",_xlfn.TEXTJOIN(", ",TRUE,_xlfn.UNIQUE(_xlfn.FILTER('기록'!$A:$A,(('기록'!$C:$C=H124)*('기록'!$A:$A&gt;=$B$1)*('기록'!$A:$A&lt;=$B$2))))))</f>
      </c>
      <c r="L124">
        <f>IF(H124="","",I124)</f>
      </c>
    </row>
    <row r="125" spans="1:12" x14ac:dyDescent="0.25">
      <c r="A125">
        <f>IFERROR(INDEX($N$5:$Q$204,121,1),"")</f>
      </c>
      <c r="B125">
        <f>IFERROR(INDEX($N$5:$Q$204,121,2),"")</f>
      </c>
      <c r="C125">
        <f>IFERROR(INDEX($N$5:$Q$204,121,3),"")</f>
      </c>
      <c r="D125">
        <f>IFERROR(INDEX($N$5:$Q$204,121,4),"")</f>
      </c>
      <c r="H125">
        <f>IFERROR(INDEX(_xlfn.UNIQUE(_xlfn.FILTER('기록'!$C$2:$C$181,('기록'!$C$2:$C$181&lt;&gt;"")*('기록'!$A$2:$A$181&gt;=$B$1)*('기록'!$A$2:$A$181&lt;=$B$2))),121),"")</f>
      </c>
      <c r="I125">
        <f>IF(H125="","",COUNTA(_xlfn.UNIQUE(_xlfn.FILTER('기록'!$A:$A,(('기록'!$C:$C=H125)*('기록'!$A:$A&gt;=$B$1)*('기록'!$A:$A&lt;=$B$2))))))</f>
      </c>
      <c r="J125">
        <f>IF(H125="","",COUNTIFS('기록'!$C:$C,H125,'기록'!$A:$A,"&gt;="&amp;$B$1,'기록'!$A:$A,"&lt;="&amp;$B$2))</f>
      </c>
      <c r="K125">
        <f>IF(H125="","",_xlfn.TEXTJOIN(", ",TRUE,_xlfn.UNIQUE(_xlfn.FILTER('기록'!$A:$A,(('기록'!$C:$C=H125)*('기록'!$A:$A&gt;=$B$1)*('기록'!$A:$A&lt;=$B$2))))))</f>
      </c>
      <c r="L125">
        <f>IF(H125="","",I125)</f>
      </c>
    </row>
    <row r="126" spans="1:12" x14ac:dyDescent="0.25">
      <c r="A126">
        <f>IFERROR(INDEX($N$5:$Q$204,122,1),"")</f>
      </c>
      <c r="B126">
        <f>IFERROR(INDEX($N$5:$Q$204,122,2),"")</f>
      </c>
      <c r="C126">
        <f>IFERROR(INDEX($N$5:$Q$204,122,3),"")</f>
      </c>
      <c r="D126">
        <f>IFERROR(INDEX($N$5:$Q$204,122,4),"")</f>
      </c>
      <c r="H126">
        <f>IFERROR(INDEX(_xlfn.UNIQUE(_xlfn.FILTER('기록'!$C$2:$C$181,('기록'!$C$2:$C$181&lt;&gt;"")*('기록'!$A$2:$A$181&gt;=$B$1)*('기록'!$A$2:$A$181&lt;=$B$2))),122),"")</f>
      </c>
      <c r="I126">
        <f>IF(H126="","",COUNTA(_xlfn.UNIQUE(_xlfn.FILTER('기록'!$A:$A,(('기록'!$C:$C=H126)*('기록'!$A:$A&gt;=$B$1)*('기록'!$A:$A&lt;=$B$2))))))</f>
      </c>
      <c r="J126">
        <f>IF(H126="","",COUNTIFS('기록'!$C:$C,H126,'기록'!$A:$A,"&gt;="&amp;$B$1,'기록'!$A:$A,"&lt;="&amp;$B$2))</f>
      </c>
      <c r="K126">
        <f>IF(H126="","",_xlfn.TEXTJOIN(", ",TRUE,_xlfn.UNIQUE(_xlfn.FILTER('기록'!$A:$A,(('기록'!$C:$C=H126)*('기록'!$A:$A&gt;=$B$1)*('기록'!$A:$A&lt;=$B$2))))))</f>
      </c>
      <c r="L126">
        <f>IF(H126="","",I126)</f>
      </c>
    </row>
    <row r="127" spans="1:12" x14ac:dyDescent="0.25">
      <c r="A127">
        <f>IFERROR(INDEX($N$5:$Q$204,123,1),"")</f>
      </c>
      <c r="B127">
        <f>IFERROR(INDEX($N$5:$Q$204,123,2),"")</f>
      </c>
      <c r="C127">
        <f>IFERROR(INDEX($N$5:$Q$204,123,3),"")</f>
      </c>
      <c r="D127">
        <f>IFERROR(INDEX($N$5:$Q$204,123,4),"")</f>
      </c>
      <c r="H127">
        <f>IFERROR(INDEX(_xlfn.UNIQUE(_xlfn.FILTER('기록'!$C$2:$C$181,('기록'!$C$2:$C$181&lt;&gt;"")*('기록'!$A$2:$A$181&gt;=$B$1)*('기록'!$A$2:$A$181&lt;=$B$2))),123),"")</f>
      </c>
      <c r="I127">
        <f>IF(H127="","",COUNTA(_xlfn.UNIQUE(_xlfn.FILTER('기록'!$A:$A,(('기록'!$C:$C=H127)*('기록'!$A:$A&gt;=$B$1)*('기록'!$A:$A&lt;=$B$2))))))</f>
      </c>
      <c r="J127">
        <f>IF(H127="","",COUNTIFS('기록'!$C:$C,H127,'기록'!$A:$A,"&gt;="&amp;$B$1,'기록'!$A:$A,"&lt;="&amp;$B$2))</f>
      </c>
      <c r="K127">
        <f>IF(H127="","",_xlfn.TEXTJOIN(", ",TRUE,_xlfn.UNIQUE(_xlfn.FILTER('기록'!$A:$A,(('기록'!$C:$C=H127)*('기록'!$A:$A&gt;=$B$1)*('기록'!$A:$A&lt;=$B$2))))))</f>
      </c>
      <c r="L127">
        <f>IF(H127="","",I127)</f>
      </c>
    </row>
    <row r="128" spans="1:12" x14ac:dyDescent="0.25">
      <c r="A128">
        <f>IFERROR(INDEX($N$5:$Q$204,124,1),"")</f>
      </c>
      <c r="B128">
        <f>IFERROR(INDEX($N$5:$Q$204,124,2),"")</f>
      </c>
      <c r="C128">
        <f>IFERROR(INDEX($N$5:$Q$204,124,3),"")</f>
      </c>
      <c r="D128">
        <f>IFERROR(INDEX($N$5:$Q$204,124,4),"")</f>
      </c>
      <c r="H128">
        <f>IFERROR(INDEX(_xlfn.UNIQUE(_xlfn.FILTER('기록'!$C$2:$C$181,('기록'!$C$2:$C$181&lt;&gt;"")*('기록'!$A$2:$A$181&gt;=$B$1)*('기록'!$A$2:$A$181&lt;=$B$2))),124),"")</f>
      </c>
      <c r="I128">
        <f>IF(H128="","",COUNTA(_xlfn.UNIQUE(_xlfn.FILTER('기록'!$A:$A,(('기록'!$C:$C=H128)*('기록'!$A:$A&gt;=$B$1)*('기록'!$A:$A&lt;=$B$2))))))</f>
      </c>
      <c r="J128">
        <f>IF(H128="","",COUNTIFS('기록'!$C:$C,H128,'기록'!$A:$A,"&gt;="&amp;$B$1,'기록'!$A:$A,"&lt;="&amp;$B$2))</f>
      </c>
      <c r="K128">
        <f>IF(H128="","",_xlfn.TEXTJOIN(", ",TRUE,_xlfn.UNIQUE(_xlfn.FILTER('기록'!$A:$A,(('기록'!$C:$C=H128)*('기록'!$A:$A&gt;=$B$1)*('기록'!$A:$A&lt;=$B$2))))))</f>
      </c>
      <c r="L128">
        <f>IF(H128="","",I128)</f>
      </c>
    </row>
    <row r="129" spans="1:12" x14ac:dyDescent="0.25">
      <c r="A129">
        <f>IFERROR(INDEX($N$5:$Q$204,125,1),"")</f>
      </c>
      <c r="B129">
        <f>IFERROR(INDEX($N$5:$Q$204,125,2),"")</f>
      </c>
      <c r="C129">
        <f>IFERROR(INDEX($N$5:$Q$204,125,3),"")</f>
      </c>
      <c r="D129">
        <f>IFERROR(INDEX($N$5:$Q$204,125,4),"")</f>
      </c>
      <c r="H129">
        <f>IFERROR(INDEX(_xlfn.UNIQUE(_xlfn.FILTER('기록'!$C$2:$C$181,('기록'!$C$2:$C$181&lt;&gt;"")*('기록'!$A$2:$A$181&gt;=$B$1)*('기록'!$A$2:$A$181&lt;=$B$2))),125),"")</f>
      </c>
      <c r="I129">
        <f>IF(H129="","",COUNTA(_xlfn.UNIQUE(_xlfn.FILTER('기록'!$A:$A,(('기록'!$C:$C=H129)*('기록'!$A:$A&gt;=$B$1)*('기록'!$A:$A&lt;=$B$2))))))</f>
      </c>
      <c r="J129">
        <f>IF(H129="","",COUNTIFS('기록'!$C:$C,H129,'기록'!$A:$A,"&gt;="&amp;$B$1,'기록'!$A:$A,"&lt;="&amp;$B$2))</f>
      </c>
      <c r="K129">
        <f>IF(H129="","",_xlfn.TEXTJOIN(", ",TRUE,_xlfn.UNIQUE(_xlfn.FILTER('기록'!$A:$A,(('기록'!$C:$C=H129)*('기록'!$A:$A&gt;=$B$1)*('기록'!$A:$A&lt;=$B$2))))))</f>
      </c>
      <c r="L129">
        <f>IF(H129="","",I129)</f>
      </c>
    </row>
    <row r="130" spans="1:12" x14ac:dyDescent="0.25">
      <c r="A130">
        <f>IFERROR(INDEX($N$5:$Q$204,126,1),"")</f>
      </c>
      <c r="B130">
        <f>IFERROR(INDEX($N$5:$Q$204,126,2),"")</f>
      </c>
      <c r="C130">
        <f>IFERROR(INDEX($N$5:$Q$204,126,3),"")</f>
      </c>
      <c r="D130">
        <f>IFERROR(INDEX($N$5:$Q$204,126,4),"")</f>
      </c>
      <c r="H130">
        <f>IFERROR(INDEX(_xlfn.UNIQUE(_xlfn.FILTER('기록'!$C$2:$C$181,('기록'!$C$2:$C$181&lt;&gt;"")*('기록'!$A$2:$A$181&gt;=$B$1)*('기록'!$A$2:$A$181&lt;=$B$2))),126),"")</f>
      </c>
      <c r="I130">
        <f>IF(H130="","",COUNTA(_xlfn.UNIQUE(_xlfn.FILTER('기록'!$A:$A,(('기록'!$C:$C=H130)*('기록'!$A:$A&gt;=$B$1)*('기록'!$A:$A&lt;=$B$2))))))</f>
      </c>
      <c r="J130">
        <f>IF(H130="","",COUNTIFS('기록'!$C:$C,H130,'기록'!$A:$A,"&gt;="&amp;$B$1,'기록'!$A:$A,"&lt;="&amp;$B$2))</f>
      </c>
      <c r="K130">
        <f>IF(H130="","",_xlfn.TEXTJOIN(", ",TRUE,_xlfn.UNIQUE(_xlfn.FILTER('기록'!$A:$A,(('기록'!$C:$C=H130)*('기록'!$A:$A&gt;=$B$1)*('기록'!$A:$A&lt;=$B$2))))))</f>
      </c>
      <c r="L130">
        <f>IF(H130="","",I130)</f>
      </c>
    </row>
    <row r="131" spans="1:12" x14ac:dyDescent="0.25">
      <c r="A131">
        <f>IFERROR(INDEX($N$5:$Q$204,127,1),"")</f>
      </c>
      <c r="B131">
        <f>IFERROR(INDEX($N$5:$Q$204,127,2),"")</f>
      </c>
      <c r="C131">
        <f>IFERROR(INDEX($N$5:$Q$204,127,3),"")</f>
      </c>
      <c r="D131">
        <f>IFERROR(INDEX($N$5:$Q$204,127,4),"")</f>
      </c>
      <c r="H131">
        <f>IFERROR(INDEX(_xlfn.UNIQUE(_xlfn.FILTER('기록'!$C$2:$C$181,('기록'!$C$2:$C$181&lt;&gt;"")*('기록'!$A$2:$A$181&gt;=$B$1)*('기록'!$A$2:$A$181&lt;=$B$2))),127),"")</f>
      </c>
      <c r="I131">
        <f>IF(H131="","",COUNTA(_xlfn.UNIQUE(_xlfn.FILTER('기록'!$A:$A,(('기록'!$C:$C=H131)*('기록'!$A:$A&gt;=$B$1)*('기록'!$A:$A&lt;=$B$2))))))</f>
      </c>
      <c r="J131">
        <f>IF(H131="","",COUNTIFS('기록'!$C:$C,H131,'기록'!$A:$A,"&gt;="&amp;$B$1,'기록'!$A:$A,"&lt;="&amp;$B$2))</f>
      </c>
      <c r="K131">
        <f>IF(H131="","",_xlfn.TEXTJOIN(", ",TRUE,_xlfn.UNIQUE(_xlfn.FILTER('기록'!$A:$A,(('기록'!$C:$C=H131)*('기록'!$A:$A&gt;=$B$1)*('기록'!$A:$A&lt;=$B$2))))))</f>
      </c>
      <c r="L131">
        <f>IF(H131="","",I131)</f>
      </c>
    </row>
    <row r="132" spans="1:12" x14ac:dyDescent="0.25">
      <c r="A132">
        <f>IFERROR(INDEX($N$5:$Q$204,128,1),"")</f>
      </c>
      <c r="B132">
        <f>IFERROR(INDEX($N$5:$Q$204,128,2),"")</f>
      </c>
      <c r="C132">
        <f>IFERROR(INDEX($N$5:$Q$204,128,3),"")</f>
      </c>
      <c r="D132">
        <f>IFERROR(INDEX($N$5:$Q$204,128,4),"")</f>
      </c>
      <c r="H132">
        <f>IFERROR(INDEX(_xlfn.UNIQUE(_xlfn.FILTER('기록'!$C$2:$C$181,('기록'!$C$2:$C$181&lt;&gt;"")*('기록'!$A$2:$A$181&gt;=$B$1)*('기록'!$A$2:$A$181&lt;=$B$2))),128),"")</f>
      </c>
      <c r="I132">
        <f>IF(H132="","",COUNTA(_xlfn.UNIQUE(_xlfn.FILTER('기록'!$A:$A,(('기록'!$C:$C=H132)*('기록'!$A:$A&gt;=$B$1)*('기록'!$A:$A&lt;=$B$2))))))</f>
      </c>
      <c r="J132">
        <f>IF(H132="","",COUNTIFS('기록'!$C:$C,H132,'기록'!$A:$A,"&gt;="&amp;$B$1,'기록'!$A:$A,"&lt;="&amp;$B$2))</f>
      </c>
      <c r="K132">
        <f>IF(H132="","",_xlfn.TEXTJOIN(", ",TRUE,_xlfn.UNIQUE(_xlfn.FILTER('기록'!$A:$A,(('기록'!$C:$C=H132)*('기록'!$A:$A&gt;=$B$1)*('기록'!$A:$A&lt;=$B$2))))))</f>
      </c>
      <c r="L132">
        <f>IF(H132="","",I132)</f>
      </c>
    </row>
    <row r="133" spans="1:12" x14ac:dyDescent="0.25">
      <c r="A133">
        <f>IFERROR(INDEX($N$5:$Q$204,129,1),"")</f>
      </c>
      <c r="B133">
        <f>IFERROR(INDEX($N$5:$Q$204,129,2),"")</f>
      </c>
      <c r="C133">
        <f>IFERROR(INDEX($N$5:$Q$204,129,3),"")</f>
      </c>
      <c r="D133">
        <f>IFERROR(INDEX($N$5:$Q$204,129,4),"")</f>
      </c>
      <c r="H133">
        <f>IFERROR(INDEX(_xlfn.UNIQUE(_xlfn.FILTER('기록'!$C$2:$C$181,('기록'!$C$2:$C$181&lt;&gt;"")*('기록'!$A$2:$A$181&gt;=$B$1)*('기록'!$A$2:$A$181&lt;=$B$2))),129),"")</f>
      </c>
      <c r="I133">
        <f>IF(H133="","",COUNTA(_xlfn.UNIQUE(_xlfn.FILTER('기록'!$A:$A,(('기록'!$C:$C=H133)*('기록'!$A:$A&gt;=$B$1)*('기록'!$A:$A&lt;=$B$2))))))</f>
      </c>
      <c r="J133">
        <f>IF(H133="","",COUNTIFS('기록'!$C:$C,H133,'기록'!$A:$A,"&gt;="&amp;$B$1,'기록'!$A:$A,"&lt;="&amp;$B$2))</f>
      </c>
      <c r="K133">
        <f>IF(H133="","",_xlfn.TEXTJOIN(", ",TRUE,_xlfn.UNIQUE(_xlfn.FILTER('기록'!$A:$A,(('기록'!$C:$C=H133)*('기록'!$A:$A&gt;=$B$1)*('기록'!$A:$A&lt;=$B$2))))))</f>
      </c>
      <c r="L133">
        <f>IF(H133="","",I133)</f>
      </c>
    </row>
    <row r="134" spans="1:12" x14ac:dyDescent="0.25">
      <c r="A134">
        <f>IFERROR(INDEX($N$5:$Q$204,130,1),"")</f>
      </c>
      <c r="B134">
        <f>IFERROR(INDEX($N$5:$Q$204,130,2),"")</f>
      </c>
      <c r="C134">
        <f>IFERROR(INDEX($N$5:$Q$204,130,3),"")</f>
      </c>
      <c r="D134">
        <f>IFERROR(INDEX($N$5:$Q$204,130,4),"")</f>
      </c>
      <c r="H134">
        <f>IFERROR(INDEX(_xlfn.UNIQUE(_xlfn.FILTER('기록'!$C$2:$C$181,('기록'!$C$2:$C$181&lt;&gt;"")*('기록'!$A$2:$A$181&gt;=$B$1)*('기록'!$A$2:$A$181&lt;=$B$2))),130),"")</f>
      </c>
      <c r="I134">
        <f>IF(H134="","",COUNTA(_xlfn.UNIQUE(_xlfn.FILTER('기록'!$A:$A,(('기록'!$C:$C=H134)*('기록'!$A:$A&gt;=$B$1)*('기록'!$A:$A&lt;=$B$2))))))</f>
      </c>
      <c r="J134">
        <f>IF(H134="","",COUNTIFS('기록'!$C:$C,H134,'기록'!$A:$A,"&gt;="&amp;$B$1,'기록'!$A:$A,"&lt;="&amp;$B$2))</f>
      </c>
      <c r="K134">
        <f>IF(H134="","",_xlfn.TEXTJOIN(", ",TRUE,_xlfn.UNIQUE(_xlfn.FILTER('기록'!$A:$A,(('기록'!$C:$C=H134)*('기록'!$A:$A&gt;=$B$1)*('기록'!$A:$A&lt;=$B$2))))))</f>
      </c>
      <c r="L134">
        <f>IF(H134="","",I134)</f>
      </c>
    </row>
    <row r="135" spans="1:12" x14ac:dyDescent="0.25">
      <c r="A135">
        <f>IFERROR(INDEX($N$5:$Q$204,131,1),"")</f>
      </c>
      <c r="B135">
        <f>IFERROR(INDEX($N$5:$Q$204,131,2),"")</f>
      </c>
      <c r="C135">
        <f>IFERROR(INDEX($N$5:$Q$204,131,3),"")</f>
      </c>
      <c r="D135">
        <f>IFERROR(INDEX($N$5:$Q$204,131,4),"")</f>
      </c>
      <c r="H135">
        <f>IFERROR(INDEX(_xlfn.UNIQUE(_xlfn.FILTER('기록'!$C$2:$C$181,('기록'!$C$2:$C$181&lt;&gt;"")*('기록'!$A$2:$A$181&gt;=$B$1)*('기록'!$A$2:$A$181&lt;=$B$2))),131),"")</f>
      </c>
      <c r="I135">
        <f>IF(H135="","",COUNTA(_xlfn.UNIQUE(_xlfn.FILTER('기록'!$A:$A,(('기록'!$C:$C=H135)*('기록'!$A:$A&gt;=$B$1)*('기록'!$A:$A&lt;=$B$2))))))</f>
      </c>
      <c r="J135">
        <f>IF(H135="","",COUNTIFS('기록'!$C:$C,H135,'기록'!$A:$A,"&gt;="&amp;$B$1,'기록'!$A:$A,"&lt;="&amp;$B$2))</f>
      </c>
      <c r="K135">
        <f>IF(H135="","",_xlfn.TEXTJOIN(", ",TRUE,_xlfn.UNIQUE(_xlfn.FILTER('기록'!$A:$A,(('기록'!$C:$C=H135)*('기록'!$A:$A&gt;=$B$1)*('기록'!$A:$A&lt;=$B$2))))))</f>
      </c>
      <c r="L135">
        <f>IF(H135="","",I135)</f>
      </c>
    </row>
    <row r="136" spans="1:12" x14ac:dyDescent="0.25">
      <c r="A136">
        <f>IFERROR(INDEX($N$5:$Q$204,132,1),"")</f>
      </c>
      <c r="B136">
        <f>IFERROR(INDEX($N$5:$Q$204,132,2),"")</f>
      </c>
      <c r="C136">
        <f>IFERROR(INDEX($N$5:$Q$204,132,3),"")</f>
      </c>
      <c r="D136">
        <f>IFERROR(INDEX($N$5:$Q$204,132,4),"")</f>
      </c>
      <c r="H136">
        <f>IFERROR(INDEX(_xlfn.UNIQUE(_xlfn.FILTER('기록'!$C$2:$C$181,('기록'!$C$2:$C$181&lt;&gt;"")*('기록'!$A$2:$A$181&gt;=$B$1)*('기록'!$A$2:$A$181&lt;=$B$2))),132),"")</f>
      </c>
      <c r="I136">
        <f>IF(H136="","",COUNTA(_xlfn.UNIQUE(_xlfn.FILTER('기록'!$A:$A,(('기록'!$C:$C=H136)*('기록'!$A:$A&gt;=$B$1)*('기록'!$A:$A&lt;=$B$2))))))</f>
      </c>
      <c r="J136">
        <f>IF(H136="","",COUNTIFS('기록'!$C:$C,H136,'기록'!$A:$A,"&gt;="&amp;$B$1,'기록'!$A:$A,"&lt;="&amp;$B$2))</f>
      </c>
      <c r="K136">
        <f>IF(H136="","",_xlfn.TEXTJOIN(", ",TRUE,_xlfn.UNIQUE(_xlfn.FILTER('기록'!$A:$A,(('기록'!$C:$C=H136)*('기록'!$A:$A&gt;=$B$1)*('기록'!$A:$A&lt;=$B$2))))))</f>
      </c>
      <c r="L136">
        <f>IF(H136="","",I136)</f>
      </c>
    </row>
    <row r="137" spans="1:12" x14ac:dyDescent="0.25">
      <c r="A137">
        <f>IFERROR(INDEX($N$5:$Q$204,133,1),"")</f>
      </c>
      <c r="B137">
        <f>IFERROR(INDEX($N$5:$Q$204,133,2),"")</f>
      </c>
      <c r="C137">
        <f>IFERROR(INDEX($N$5:$Q$204,133,3),"")</f>
      </c>
      <c r="D137">
        <f>IFERROR(INDEX($N$5:$Q$204,133,4),"")</f>
      </c>
      <c r="H137">
        <f>IFERROR(INDEX(_xlfn.UNIQUE(_xlfn.FILTER('기록'!$C$2:$C$181,('기록'!$C$2:$C$181&lt;&gt;"")*('기록'!$A$2:$A$181&gt;=$B$1)*('기록'!$A$2:$A$181&lt;=$B$2))),133),"")</f>
      </c>
      <c r="I137">
        <f>IF(H137="","",COUNTA(_xlfn.UNIQUE(_xlfn.FILTER('기록'!$A:$A,(('기록'!$C:$C=H137)*('기록'!$A:$A&gt;=$B$1)*('기록'!$A:$A&lt;=$B$2))))))</f>
      </c>
      <c r="J137">
        <f>IF(H137="","",COUNTIFS('기록'!$C:$C,H137,'기록'!$A:$A,"&gt;="&amp;$B$1,'기록'!$A:$A,"&lt;="&amp;$B$2))</f>
      </c>
      <c r="K137">
        <f>IF(H137="","",_xlfn.TEXTJOIN(", ",TRUE,_xlfn.UNIQUE(_xlfn.FILTER('기록'!$A:$A,(('기록'!$C:$C=H137)*('기록'!$A:$A&gt;=$B$1)*('기록'!$A:$A&lt;=$B$2))))))</f>
      </c>
      <c r="L137">
        <f>IF(H137="","",I137)</f>
      </c>
    </row>
    <row r="138" spans="1:12" x14ac:dyDescent="0.25">
      <c r="A138">
        <f>IFERROR(INDEX($N$5:$Q$204,134,1),"")</f>
      </c>
      <c r="B138">
        <f>IFERROR(INDEX($N$5:$Q$204,134,2),"")</f>
      </c>
      <c r="C138">
        <f>IFERROR(INDEX($N$5:$Q$204,134,3),"")</f>
      </c>
      <c r="D138">
        <f>IFERROR(INDEX($N$5:$Q$204,134,4),"")</f>
      </c>
      <c r="H138">
        <f>IFERROR(INDEX(_xlfn.UNIQUE(_xlfn.FILTER('기록'!$C$2:$C$181,('기록'!$C$2:$C$181&lt;&gt;"")*('기록'!$A$2:$A$181&gt;=$B$1)*('기록'!$A$2:$A$181&lt;=$B$2))),134),"")</f>
      </c>
      <c r="I138">
        <f>IF(H138="","",COUNTA(_xlfn.UNIQUE(_xlfn.FILTER('기록'!$A:$A,(('기록'!$C:$C=H138)*('기록'!$A:$A&gt;=$B$1)*('기록'!$A:$A&lt;=$B$2))))))</f>
      </c>
      <c r="J138">
        <f>IF(H138="","",COUNTIFS('기록'!$C:$C,H138,'기록'!$A:$A,"&gt;="&amp;$B$1,'기록'!$A:$A,"&lt;="&amp;$B$2))</f>
      </c>
      <c r="K138">
        <f>IF(H138="","",_xlfn.TEXTJOIN(", ",TRUE,_xlfn.UNIQUE(_xlfn.FILTER('기록'!$A:$A,(('기록'!$C:$C=H138)*('기록'!$A:$A&gt;=$B$1)*('기록'!$A:$A&lt;=$B$2))))))</f>
      </c>
      <c r="L138">
        <f>IF(H138="","",I138)</f>
      </c>
    </row>
    <row r="139" spans="1:12" x14ac:dyDescent="0.25">
      <c r="A139">
        <f>IFERROR(INDEX($N$5:$Q$204,135,1),"")</f>
      </c>
      <c r="B139">
        <f>IFERROR(INDEX($N$5:$Q$204,135,2),"")</f>
      </c>
      <c r="C139">
        <f>IFERROR(INDEX($N$5:$Q$204,135,3),"")</f>
      </c>
      <c r="D139">
        <f>IFERROR(INDEX($N$5:$Q$204,135,4),"")</f>
      </c>
      <c r="H139">
        <f>IFERROR(INDEX(_xlfn.UNIQUE(_xlfn.FILTER('기록'!$C$2:$C$181,('기록'!$C$2:$C$181&lt;&gt;"")*('기록'!$A$2:$A$181&gt;=$B$1)*('기록'!$A$2:$A$181&lt;=$B$2))),135),"")</f>
      </c>
      <c r="I139">
        <f>IF(H139="","",COUNTA(_xlfn.UNIQUE(_xlfn.FILTER('기록'!$A:$A,(('기록'!$C:$C=H139)*('기록'!$A:$A&gt;=$B$1)*('기록'!$A:$A&lt;=$B$2))))))</f>
      </c>
      <c r="J139">
        <f>IF(H139="","",COUNTIFS('기록'!$C:$C,H139,'기록'!$A:$A,"&gt;="&amp;$B$1,'기록'!$A:$A,"&lt;="&amp;$B$2))</f>
      </c>
      <c r="K139">
        <f>IF(H139="","",_xlfn.TEXTJOIN(", ",TRUE,_xlfn.UNIQUE(_xlfn.FILTER('기록'!$A:$A,(('기록'!$C:$C=H139)*('기록'!$A:$A&gt;=$B$1)*('기록'!$A:$A&lt;=$B$2))))))</f>
      </c>
      <c r="L139">
        <f>IF(H139="","",I139)</f>
      </c>
    </row>
    <row r="140" spans="1:12" x14ac:dyDescent="0.25">
      <c r="A140">
        <f>IFERROR(INDEX($N$5:$Q$204,136,1),"")</f>
      </c>
      <c r="B140">
        <f>IFERROR(INDEX($N$5:$Q$204,136,2),"")</f>
      </c>
      <c r="C140">
        <f>IFERROR(INDEX($N$5:$Q$204,136,3),"")</f>
      </c>
      <c r="D140">
        <f>IFERROR(INDEX($N$5:$Q$204,136,4),"")</f>
      </c>
      <c r="H140">
        <f>IFERROR(INDEX(_xlfn.UNIQUE(_xlfn.FILTER('기록'!$C$2:$C$181,('기록'!$C$2:$C$181&lt;&gt;"")*('기록'!$A$2:$A$181&gt;=$B$1)*('기록'!$A$2:$A$181&lt;=$B$2))),136),"")</f>
      </c>
      <c r="I140">
        <f>IF(H140="","",COUNTA(_xlfn.UNIQUE(_xlfn.FILTER('기록'!$A:$A,(('기록'!$C:$C=H140)*('기록'!$A:$A&gt;=$B$1)*('기록'!$A:$A&lt;=$B$2))))))</f>
      </c>
      <c r="J140">
        <f>IF(H140="","",COUNTIFS('기록'!$C:$C,H140,'기록'!$A:$A,"&gt;="&amp;$B$1,'기록'!$A:$A,"&lt;="&amp;$B$2))</f>
      </c>
      <c r="K140">
        <f>IF(H140="","",_xlfn.TEXTJOIN(", ",TRUE,_xlfn.UNIQUE(_xlfn.FILTER('기록'!$A:$A,(('기록'!$C:$C=H140)*('기록'!$A:$A&gt;=$B$1)*('기록'!$A:$A&lt;=$B$2))))))</f>
      </c>
      <c r="L140">
        <f>IF(H140="","",I140)</f>
      </c>
    </row>
    <row r="141" spans="1:12" x14ac:dyDescent="0.25">
      <c r="A141">
        <f>IFERROR(INDEX($N$5:$Q$204,137,1),"")</f>
      </c>
      <c r="B141">
        <f>IFERROR(INDEX($N$5:$Q$204,137,2),"")</f>
      </c>
      <c r="C141">
        <f>IFERROR(INDEX($N$5:$Q$204,137,3),"")</f>
      </c>
      <c r="D141">
        <f>IFERROR(INDEX($N$5:$Q$204,137,4),"")</f>
      </c>
      <c r="H141">
        <f>IFERROR(INDEX(_xlfn.UNIQUE(_xlfn.FILTER('기록'!$C$2:$C$181,('기록'!$C$2:$C$181&lt;&gt;"")*('기록'!$A$2:$A$181&gt;=$B$1)*('기록'!$A$2:$A$181&lt;=$B$2))),137),"")</f>
      </c>
      <c r="I141">
        <f>IF(H141="","",COUNTA(_xlfn.UNIQUE(_xlfn.FILTER('기록'!$A:$A,(('기록'!$C:$C=H141)*('기록'!$A:$A&gt;=$B$1)*('기록'!$A:$A&lt;=$B$2))))))</f>
      </c>
      <c r="J141">
        <f>IF(H141="","",COUNTIFS('기록'!$C:$C,H141,'기록'!$A:$A,"&gt;="&amp;$B$1,'기록'!$A:$A,"&lt;="&amp;$B$2))</f>
      </c>
      <c r="K141">
        <f>IF(H141="","",_xlfn.TEXTJOIN(", ",TRUE,_xlfn.UNIQUE(_xlfn.FILTER('기록'!$A:$A,(('기록'!$C:$C=H141)*('기록'!$A:$A&gt;=$B$1)*('기록'!$A:$A&lt;=$B$2))))))</f>
      </c>
      <c r="L141">
        <f>IF(H141="","",I141)</f>
      </c>
    </row>
    <row r="142" spans="1:12" x14ac:dyDescent="0.25">
      <c r="A142">
        <f>IFERROR(INDEX($N$5:$Q$204,138,1),"")</f>
      </c>
      <c r="B142">
        <f>IFERROR(INDEX($N$5:$Q$204,138,2),"")</f>
      </c>
      <c r="C142">
        <f>IFERROR(INDEX($N$5:$Q$204,138,3),"")</f>
      </c>
      <c r="D142">
        <f>IFERROR(INDEX($N$5:$Q$204,138,4),"")</f>
      </c>
      <c r="H142">
        <f>IFERROR(INDEX(_xlfn.UNIQUE(_xlfn.FILTER('기록'!$C$2:$C$181,('기록'!$C$2:$C$181&lt;&gt;"")*('기록'!$A$2:$A$181&gt;=$B$1)*('기록'!$A$2:$A$181&lt;=$B$2))),138),"")</f>
      </c>
      <c r="I142">
        <f>IF(H142="","",COUNTA(_xlfn.UNIQUE(_xlfn.FILTER('기록'!$A:$A,(('기록'!$C:$C=H142)*('기록'!$A:$A&gt;=$B$1)*('기록'!$A:$A&lt;=$B$2))))))</f>
      </c>
      <c r="J142">
        <f>IF(H142="","",COUNTIFS('기록'!$C:$C,H142,'기록'!$A:$A,"&gt;="&amp;$B$1,'기록'!$A:$A,"&lt;="&amp;$B$2))</f>
      </c>
      <c r="K142">
        <f>IF(H142="","",_xlfn.TEXTJOIN(", ",TRUE,_xlfn.UNIQUE(_xlfn.FILTER('기록'!$A:$A,(('기록'!$C:$C=H142)*('기록'!$A:$A&gt;=$B$1)*('기록'!$A:$A&lt;=$B$2))))))</f>
      </c>
      <c r="L142">
        <f>IF(H142="","",I142)</f>
      </c>
    </row>
    <row r="143" spans="1:12" x14ac:dyDescent="0.25">
      <c r="A143">
        <f>IFERROR(INDEX($N$5:$Q$204,139,1),"")</f>
      </c>
      <c r="B143">
        <f>IFERROR(INDEX($N$5:$Q$204,139,2),"")</f>
      </c>
      <c r="C143">
        <f>IFERROR(INDEX($N$5:$Q$204,139,3),"")</f>
      </c>
      <c r="D143">
        <f>IFERROR(INDEX($N$5:$Q$204,139,4),"")</f>
      </c>
      <c r="H143">
        <f>IFERROR(INDEX(_xlfn.UNIQUE(_xlfn.FILTER('기록'!$C$2:$C$181,('기록'!$C$2:$C$181&lt;&gt;"")*('기록'!$A$2:$A$181&gt;=$B$1)*('기록'!$A$2:$A$181&lt;=$B$2))),139),"")</f>
      </c>
      <c r="I143">
        <f>IF(H143="","",COUNTA(_xlfn.UNIQUE(_xlfn.FILTER('기록'!$A:$A,(('기록'!$C:$C=H143)*('기록'!$A:$A&gt;=$B$1)*('기록'!$A:$A&lt;=$B$2))))))</f>
      </c>
      <c r="J143">
        <f>IF(H143="","",COUNTIFS('기록'!$C:$C,H143,'기록'!$A:$A,"&gt;="&amp;$B$1,'기록'!$A:$A,"&lt;="&amp;$B$2))</f>
      </c>
      <c r="K143">
        <f>IF(H143="","",_xlfn.TEXTJOIN(", ",TRUE,_xlfn.UNIQUE(_xlfn.FILTER('기록'!$A:$A,(('기록'!$C:$C=H143)*('기록'!$A:$A&gt;=$B$1)*('기록'!$A:$A&lt;=$B$2))))))</f>
      </c>
      <c r="L143">
        <f>IF(H143="","",I143)</f>
      </c>
    </row>
    <row r="144" spans="1:12" x14ac:dyDescent="0.25">
      <c r="A144">
        <f>IFERROR(INDEX($N$5:$Q$204,140,1),"")</f>
      </c>
      <c r="B144">
        <f>IFERROR(INDEX($N$5:$Q$204,140,2),"")</f>
      </c>
      <c r="C144">
        <f>IFERROR(INDEX($N$5:$Q$204,140,3),"")</f>
      </c>
      <c r="D144">
        <f>IFERROR(INDEX($N$5:$Q$204,140,4),"")</f>
      </c>
      <c r="H144">
        <f>IFERROR(INDEX(_xlfn.UNIQUE(_xlfn.FILTER('기록'!$C$2:$C$181,('기록'!$C$2:$C$181&lt;&gt;"")*('기록'!$A$2:$A$181&gt;=$B$1)*('기록'!$A$2:$A$181&lt;=$B$2))),140),"")</f>
      </c>
      <c r="I144">
        <f>IF(H144="","",COUNTA(_xlfn.UNIQUE(_xlfn.FILTER('기록'!$A:$A,(('기록'!$C:$C=H144)*('기록'!$A:$A&gt;=$B$1)*('기록'!$A:$A&lt;=$B$2))))))</f>
      </c>
      <c r="J144">
        <f>IF(H144="","",COUNTIFS('기록'!$C:$C,H144,'기록'!$A:$A,"&gt;="&amp;$B$1,'기록'!$A:$A,"&lt;="&amp;$B$2))</f>
      </c>
      <c r="K144">
        <f>IF(H144="","",_xlfn.TEXTJOIN(", ",TRUE,_xlfn.UNIQUE(_xlfn.FILTER('기록'!$A:$A,(('기록'!$C:$C=H144)*('기록'!$A:$A&gt;=$B$1)*('기록'!$A:$A&lt;=$B$2))))))</f>
      </c>
      <c r="L144">
        <f>IF(H144="","",I144)</f>
      </c>
    </row>
    <row r="145" spans="1:12" x14ac:dyDescent="0.25">
      <c r="A145">
        <f>IFERROR(INDEX($N$5:$Q$204,141,1),"")</f>
      </c>
      <c r="B145">
        <f>IFERROR(INDEX($N$5:$Q$204,141,2),"")</f>
      </c>
      <c r="C145">
        <f>IFERROR(INDEX($N$5:$Q$204,141,3),"")</f>
      </c>
      <c r="D145">
        <f>IFERROR(INDEX($N$5:$Q$204,141,4),"")</f>
      </c>
      <c r="H145">
        <f>IFERROR(INDEX(_xlfn.UNIQUE(_xlfn.FILTER('기록'!$C$2:$C$181,('기록'!$C$2:$C$181&lt;&gt;"")*('기록'!$A$2:$A$181&gt;=$B$1)*('기록'!$A$2:$A$181&lt;=$B$2))),141),"")</f>
      </c>
      <c r="I145">
        <f>IF(H145="","",COUNTA(_xlfn.UNIQUE(_xlfn.FILTER('기록'!$A:$A,(('기록'!$C:$C=H145)*('기록'!$A:$A&gt;=$B$1)*('기록'!$A:$A&lt;=$B$2))))))</f>
      </c>
      <c r="J145">
        <f>IF(H145="","",COUNTIFS('기록'!$C:$C,H145,'기록'!$A:$A,"&gt;="&amp;$B$1,'기록'!$A:$A,"&lt;="&amp;$B$2))</f>
      </c>
      <c r="K145">
        <f>IF(H145="","",_xlfn.TEXTJOIN(", ",TRUE,_xlfn.UNIQUE(_xlfn.FILTER('기록'!$A:$A,(('기록'!$C:$C=H145)*('기록'!$A:$A&gt;=$B$1)*('기록'!$A:$A&lt;=$B$2))))))</f>
      </c>
      <c r="L145">
        <f>IF(H145="","",I145)</f>
      </c>
    </row>
    <row r="146" spans="1:12" x14ac:dyDescent="0.25">
      <c r="A146">
        <f>IFERROR(INDEX($N$5:$Q$204,142,1),"")</f>
      </c>
      <c r="B146">
        <f>IFERROR(INDEX($N$5:$Q$204,142,2),"")</f>
      </c>
      <c r="C146">
        <f>IFERROR(INDEX($N$5:$Q$204,142,3),"")</f>
      </c>
      <c r="D146">
        <f>IFERROR(INDEX($N$5:$Q$204,142,4),"")</f>
      </c>
      <c r="H146">
        <f>IFERROR(INDEX(_xlfn.UNIQUE(_xlfn.FILTER('기록'!$C$2:$C$181,('기록'!$C$2:$C$181&lt;&gt;"")*('기록'!$A$2:$A$181&gt;=$B$1)*('기록'!$A$2:$A$181&lt;=$B$2))),142),"")</f>
      </c>
      <c r="I146">
        <f>IF(H146="","",COUNTA(_xlfn.UNIQUE(_xlfn.FILTER('기록'!$A:$A,(('기록'!$C:$C=H146)*('기록'!$A:$A&gt;=$B$1)*('기록'!$A:$A&lt;=$B$2))))))</f>
      </c>
      <c r="J146">
        <f>IF(H146="","",COUNTIFS('기록'!$C:$C,H146,'기록'!$A:$A,"&gt;="&amp;$B$1,'기록'!$A:$A,"&lt;="&amp;$B$2))</f>
      </c>
      <c r="K146">
        <f>IF(H146="","",_xlfn.TEXTJOIN(", ",TRUE,_xlfn.UNIQUE(_xlfn.FILTER('기록'!$A:$A,(('기록'!$C:$C=H146)*('기록'!$A:$A&gt;=$B$1)*('기록'!$A:$A&lt;=$B$2))))))</f>
      </c>
      <c r="L146">
        <f>IF(H146="","",I146)</f>
      </c>
    </row>
    <row r="147" spans="1:12" x14ac:dyDescent="0.25">
      <c r="A147">
        <f>IFERROR(INDEX($N$5:$Q$204,143,1),"")</f>
      </c>
      <c r="B147">
        <f>IFERROR(INDEX($N$5:$Q$204,143,2),"")</f>
      </c>
      <c r="C147">
        <f>IFERROR(INDEX($N$5:$Q$204,143,3),"")</f>
      </c>
      <c r="D147">
        <f>IFERROR(INDEX($N$5:$Q$204,143,4),"")</f>
      </c>
      <c r="H147">
        <f>IFERROR(INDEX(_xlfn.UNIQUE(_xlfn.FILTER('기록'!$C$2:$C$181,('기록'!$C$2:$C$181&lt;&gt;"")*('기록'!$A$2:$A$181&gt;=$B$1)*('기록'!$A$2:$A$181&lt;=$B$2))),143),"")</f>
      </c>
      <c r="I147">
        <f>IF(H147="","",COUNTA(_xlfn.UNIQUE(_xlfn.FILTER('기록'!$A:$A,(('기록'!$C:$C=H147)*('기록'!$A:$A&gt;=$B$1)*('기록'!$A:$A&lt;=$B$2))))))</f>
      </c>
      <c r="J147">
        <f>IF(H147="","",COUNTIFS('기록'!$C:$C,H147,'기록'!$A:$A,"&gt;="&amp;$B$1,'기록'!$A:$A,"&lt;="&amp;$B$2))</f>
      </c>
      <c r="K147">
        <f>IF(H147="","",_xlfn.TEXTJOIN(", ",TRUE,_xlfn.UNIQUE(_xlfn.FILTER('기록'!$A:$A,(('기록'!$C:$C=H147)*('기록'!$A:$A&gt;=$B$1)*('기록'!$A:$A&lt;=$B$2))))))</f>
      </c>
      <c r="L147">
        <f>IF(H147="","",I147)</f>
      </c>
    </row>
    <row r="148" spans="1:12" x14ac:dyDescent="0.25">
      <c r="A148">
        <f>IFERROR(INDEX($N$5:$Q$204,144,1),"")</f>
      </c>
      <c r="B148">
        <f>IFERROR(INDEX($N$5:$Q$204,144,2),"")</f>
      </c>
      <c r="C148">
        <f>IFERROR(INDEX($N$5:$Q$204,144,3),"")</f>
      </c>
      <c r="D148">
        <f>IFERROR(INDEX($N$5:$Q$204,144,4),"")</f>
      </c>
      <c r="H148">
        <f>IFERROR(INDEX(_xlfn.UNIQUE(_xlfn.FILTER('기록'!$C$2:$C$181,('기록'!$C$2:$C$181&lt;&gt;"")*('기록'!$A$2:$A$181&gt;=$B$1)*('기록'!$A$2:$A$181&lt;=$B$2))),144),"")</f>
      </c>
      <c r="I148">
        <f>IF(H148="","",COUNTA(_xlfn.UNIQUE(_xlfn.FILTER('기록'!$A:$A,(('기록'!$C:$C=H148)*('기록'!$A:$A&gt;=$B$1)*('기록'!$A:$A&lt;=$B$2))))))</f>
      </c>
      <c r="J148">
        <f>IF(H148="","",COUNTIFS('기록'!$C:$C,H148,'기록'!$A:$A,"&gt;="&amp;$B$1,'기록'!$A:$A,"&lt;="&amp;$B$2))</f>
      </c>
      <c r="K148">
        <f>IF(H148="","",_xlfn.TEXTJOIN(", ",TRUE,_xlfn.UNIQUE(_xlfn.FILTER('기록'!$A:$A,(('기록'!$C:$C=H148)*('기록'!$A:$A&gt;=$B$1)*('기록'!$A:$A&lt;=$B$2))))))</f>
      </c>
      <c r="L148">
        <f>IF(H148="","",I148)</f>
      </c>
    </row>
    <row r="149" spans="1:12" x14ac:dyDescent="0.25">
      <c r="A149">
        <f>IFERROR(INDEX($N$5:$Q$204,145,1),"")</f>
      </c>
      <c r="B149">
        <f>IFERROR(INDEX($N$5:$Q$204,145,2),"")</f>
      </c>
      <c r="C149">
        <f>IFERROR(INDEX($N$5:$Q$204,145,3),"")</f>
      </c>
      <c r="D149">
        <f>IFERROR(INDEX($N$5:$Q$204,145,4),"")</f>
      </c>
      <c r="H149">
        <f>IFERROR(INDEX(_xlfn.UNIQUE(_xlfn.FILTER('기록'!$C$2:$C$181,('기록'!$C$2:$C$181&lt;&gt;"")*('기록'!$A$2:$A$181&gt;=$B$1)*('기록'!$A$2:$A$181&lt;=$B$2))),145),"")</f>
      </c>
      <c r="I149">
        <f>IF(H149="","",COUNTA(_xlfn.UNIQUE(_xlfn.FILTER('기록'!$A:$A,(('기록'!$C:$C=H149)*('기록'!$A:$A&gt;=$B$1)*('기록'!$A:$A&lt;=$B$2))))))</f>
      </c>
      <c r="J149">
        <f>IF(H149="","",COUNTIFS('기록'!$C:$C,H149,'기록'!$A:$A,"&gt;="&amp;$B$1,'기록'!$A:$A,"&lt;="&amp;$B$2))</f>
      </c>
      <c r="K149">
        <f>IF(H149="","",_xlfn.TEXTJOIN(", ",TRUE,_xlfn.UNIQUE(_xlfn.FILTER('기록'!$A:$A,(('기록'!$C:$C=H149)*('기록'!$A:$A&gt;=$B$1)*('기록'!$A:$A&lt;=$B$2))))))</f>
      </c>
      <c r="L149">
        <f>IF(H149="","",I149)</f>
      </c>
    </row>
    <row r="150" spans="1:12" x14ac:dyDescent="0.25">
      <c r="A150">
        <f>IFERROR(INDEX($N$5:$Q$204,146,1),"")</f>
      </c>
      <c r="B150">
        <f>IFERROR(INDEX($N$5:$Q$204,146,2),"")</f>
      </c>
      <c r="C150">
        <f>IFERROR(INDEX($N$5:$Q$204,146,3),"")</f>
      </c>
      <c r="D150">
        <f>IFERROR(INDEX($N$5:$Q$204,146,4),"")</f>
      </c>
      <c r="H150">
        <f>IFERROR(INDEX(_xlfn.UNIQUE(_xlfn.FILTER('기록'!$C$2:$C$181,('기록'!$C$2:$C$181&lt;&gt;"")*('기록'!$A$2:$A$181&gt;=$B$1)*('기록'!$A$2:$A$181&lt;=$B$2))),146),"")</f>
      </c>
      <c r="I150">
        <f>IF(H150="","",COUNTA(_xlfn.UNIQUE(_xlfn.FILTER('기록'!$A:$A,(('기록'!$C:$C=H150)*('기록'!$A:$A&gt;=$B$1)*('기록'!$A:$A&lt;=$B$2))))))</f>
      </c>
      <c r="J150">
        <f>IF(H150="","",COUNTIFS('기록'!$C:$C,H150,'기록'!$A:$A,"&gt;="&amp;$B$1,'기록'!$A:$A,"&lt;="&amp;$B$2))</f>
      </c>
      <c r="K150">
        <f>IF(H150="","",_xlfn.TEXTJOIN(", ",TRUE,_xlfn.UNIQUE(_xlfn.FILTER('기록'!$A:$A,(('기록'!$C:$C=H150)*('기록'!$A:$A&gt;=$B$1)*('기록'!$A:$A&lt;=$B$2))))))</f>
      </c>
      <c r="L150">
        <f>IF(H150="","",I150)</f>
      </c>
    </row>
    <row r="151" spans="1:12" x14ac:dyDescent="0.25">
      <c r="A151">
        <f>IFERROR(INDEX($N$5:$Q$204,147,1),"")</f>
      </c>
      <c r="B151">
        <f>IFERROR(INDEX($N$5:$Q$204,147,2),"")</f>
      </c>
      <c r="C151">
        <f>IFERROR(INDEX($N$5:$Q$204,147,3),"")</f>
      </c>
      <c r="D151">
        <f>IFERROR(INDEX($N$5:$Q$204,147,4),"")</f>
      </c>
      <c r="H151">
        <f>IFERROR(INDEX(_xlfn.UNIQUE(_xlfn.FILTER('기록'!$C$2:$C$181,('기록'!$C$2:$C$181&lt;&gt;"")*('기록'!$A$2:$A$181&gt;=$B$1)*('기록'!$A$2:$A$181&lt;=$B$2))),147),"")</f>
      </c>
      <c r="I151">
        <f>IF(H151="","",COUNTA(_xlfn.UNIQUE(_xlfn.FILTER('기록'!$A:$A,(('기록'!$C:$C=H151)*('기록'!$A:$A&gt;=$B$1)*('기록'!$A:$A&lt;=$B$2))))))</f>
      </c>
      <c r="J151">
        <f>IF(H151="","",COUNTIFS('기록'!$C:$C,H151,'기록'!$A:$A,"&gt;="&amp;$B$1,'기록'!$A:$A,"&lt;="&amp;$B$2))</f>
      </c>
      <c r="K151">
        <f>IF(H151="","",_xlfn.TEXTJOIN(", ",TRUE,_xlfn.UNIQUE(_xlfn.FILTER('기록'!$A:$A,(('기록'!$C:$C=H151)*('기록'!$A:$A&gt;=$B$1)*('기록'!$A:$A&lt;=$B$2))))))</f>
      </c>
      <c r="L151">
        <f>IF(H151="","",I151)</f>
      </c>
    </row>
    <row r="152" spans="1:12" x14ac:dyDescent="0.25">
      <c r="A152">
        <f>IFERROR(INDEX($N$5:$Q$204,148,1),"")</f>
      </c>
      <c r="B152">
        <f>IFERROR(INDEX($N$5:$Q$204,148,2),"")</f>
      </c>
      <c r="C152">
        <f>IFERROR(INDEX($N$5:$Q$204,148,3),"")</f>
      </c>
      <c r="D152">
        <f>IFERROR(INDEX($N$5:$Q$204,148,4),"")</f>
      </c>
      <c r="H152">
        <f>IFERROR(INDEX(_xlfn.UNIQUE(_xlfn.FILTER('기록'!$C$2:$C$181,('기록'!$C$2:$C$181&lt;&gt;"")*('기록'!$A$2:$A$181&gt;=$B$1)*('기록'!$A$2:$A$181&lt;=$B$2))),148),"")</f>
      </c>
      <c r="I152">
        <f>IF(H152="","",COUNTA(_xlfn.UNIQUE(_xlfn.FILTER('기록'!$A:$A,(('기록'!$C:$C=H152)*('기록'!$A:$A&gt;=$B$1)*('기록'!$A:$A&lt;=$B$2))))))</f>
      </c>
      <c r="J152">
        <f>IF(H152="","",COUNTIFS('기록'!$C:$C,H152,'기록'!$A:$A,"&gt;="&amp;$B$1,'기록'!$A:$A,"&lt;="&amp;$B$2))</f>
      </c>
      <c r="K152">
        <f>IF(H152="","",_xlfn.TEXTJOIN(", ",TRUE,_xlfn.UNIQUE(_xlfn.FILTER('기록'!$A:$A,(('기록'!$C:$C=H152)*('기록'!$A:$A&gt;=$B$1)*('기록'!$A:$A&lt;=$B$2))))))</f>
      </c>
      <c r="L152">
        <f>IF(H152="","",I152)</f>
      </c>
    </row>
    <row r="153" spans="1:12" x14ac:dyDescent="0.25">
      <c r="A153">
        <f>IFERROR(INDEX($N$5:$Q$204,149,1),"")</f>
      </c>
      <c r="B153">
        <f>IFERROR(INDEX($N$5:$Q$204,149,2),"")</f>
      </c>
      <c r="C153">
        <f>IFERROR(INDEX($N$5:$Q$204,149,3),"")</f>
      </c>
      <c r="D153">
        <f>IFERROR(INDEX($N$5:$Q$204,149,4),"")</f>
      </c>
      <c r="H153">
        <f>IFERROR(INDEX(_xlfn.UNIQUE(_xlfn.FILTER('기록'!$C$2:$C$181,('기록'!$C$2:$C$181&lt;&gt;"")*('기록'!$A$2:$A$181&gt;=$B$1)*('기록'!$A$2:$A$181&lt;=$B$2))),149),"")</f>
      </c>
      <c r="I153">
        <f>IF(H153="","",COUNTA(_xlfn.UNIQUE(_xlfn.FILTER('기록'!$A:$A,(('기록'!$C:$C=H153)*('기록'!$A:$A&gt;=$B$1)*('기록'!$A:$A&lt;=$B$2))))))</f>
      </c>
      <c r="J153">
        <f>IF(H153="","",COUNTIFS('기록'!$C:$C,H153,'기록'!$A:$A,"&gt;="&amp;$B$1,'기록'!$A:$A,"&lt;="&amp;$B$2))</f>
      </c>
      <c r="K153">
        <f>IF(H153="","",_xlfn.TEXTJOIN(", ",TRUE,_xlfn.UNIQUE(_xlfn.FILTER('기록'!$A:$A,(('기록'!$C:$C=H153)*('기록'!$A:$A&gt;=$B$1)*('기록'!$A:$A&lt;=$B$2))))))</f>
      </c>
      <c r="L153">
        <f>IF(H153="","",I153)</f>
      </c>
    </row>
    <row r="154" spans="1:12" x14ac:dyDescent="0.25">
      <c r="A154">
        <f>IFERROR(INDEX($N$5:$Q$204,150,1),"")</f>
      </c>
      <c r="B154">
        <f>IFERROR(INDEX($N$5:$Q$204,150,2),"")</f>
      </c>
      <c r="C154">
        <f>IFERROR(INDEX($N$5:$Q$204,150,3),"")</f>
      </c>
      <c r="D154">
        <f>IFERROR(INDEX($N$5:$Q$204,150,4),"")</f>
      </c>
      <c r="H154">
        <f>IFERROR(INDEX(_xlfn.UNIQUE(_xlfn.FILTER('기록'!$C$2:$C$181,('기록'!$C$2:$C$181&lt;&gt;"")*('기록'!$A$2:$A$181&gt;=$B$1)*('기록'!$A$2:$A$181&lt;=$B$2))),150),"")</f>
      </c>
      <c r="I154">
        <f>IF(H154="","",COUNTA(_xlfn.UNIQUE(_xlfn.FILTER('기록'!$A:$A,(('기록'!$C:$C=H154)*('기록'!$A:$A&gt;=$B$1)*('기록'!$A:$A&lt;=$B$2))))))</f>
      </c>
      <c r="J154">
        <f>IF(H154="","",COUNTIFS('기록'!$C:$C,H154,'기록'!$A:$A,"&gt;="&amp;$B$1,'기록'!$A:$A,"&lt;="&amp;$B$2))</f>
      </c>
      <c r="K154">
        <f>IF(H154="","",_xlfn.TEXTJOIN(", ",TRUE,_xlfn.UNIQUE(_xlfn.FILTER('기록'!$A:$A,(('기록'!$C:$C=H154)*('기록'!$A:$A&gt;=$B$1)*('기록'!$A:$A&lt;=$B$2))))))</f>
      </c>
      <c r="L154">
        <f>IF(H154="","",I154)</f>
      </c>
    </row>
    <row r="155" spans="1:12" x14ac:dyDescent="0.25">
      <c r="A155">
        <f>IFERROR(INDEX($N$5:$Q$204,151,1),"")</f>
      </c>
      <c r="B155">
        <f>IFERROR(INDEX($N$5:$Q$204,151,2),"")</f>
      </c>
      <c r="C155">
        <f>IFERROR(INDEX($N$5:$Q$204,151,3),"")</f>
      </c>
      <c r="D155">
        <f>IFERROR(INDEX($N$5:$Q$204,151,4),"")</f>
      </c>
      <c r="H155">
        <f>IFERROR(INDEX(_xlfn.UNIQUE(_xlfn.FILTER('기록'!$C$2:$C$181,('기록'!$C$2:$C$181&lt;&gt;"")*('기록'!$A$2:$A$181&gt;=$B$1)*('기록'!$A$2:$A$181&lt;=$B$2))),151),"")</f>
      </c>
      <c r="I155">
        <f>IF(H155="","",COUNTA(_xlfn.UNIQUE(_xlfn.FILTER('기록'!$A:$A,(('기록'!$C:$C=H155)*('기록'!$A:$A&gt;=$B$1)*('기록'!$A:$A&lt;=$B$2))))))</f>
      </c>
      <c r="J155">
        <f>IF(H155="","",COUNTIFS('기록'!$C:$C,H155,'기록'!$A:$A,"&gt;="&amp;$B$1,'기록'!$A:$A,"&lt;="&amp;$B$2))</f>
      </c>
      <c r="K155">
        <f>IF(H155="","",_xlfn.TEXTJOIN(", ",TRUE,_xlfn.UNIQUE(_xlfn.FILTER('기록'!$A:$A,(('기록'!$C:$C=H155)*('기록'!$A:$A&gt;=$B$1)*('기록'!$A:$A&lt;=$B$2))))))</f>
      </c>
      <c r="L155">
        <f>IF(H155="","",I155)</f>
      </c>
    </row>
    <row r="156" spans="1:12" x14ac:dyDescent="0.25">
      <c r="A156">
        <f>IFERROR(INDEX($N$5:$Q$204,152,1),"")</f>
      </c>
      <c r="B156">
        <f>IFERROR(INDEX($N$5:$Q$204,152,2),"")</f>
      </c>
      <c r="C156">
        <f>IFERROR(INDEX($N$5:$Q$204,152,3),"")</f>
      </c>
      <c r="D156">
        <f>IFERROR(INDEX($N$5:$Q$204,152,4),"")</f>
      </c>
      <c r="H156">
        <f>IFERROR(INDEX(_xlfn.UNIQUE(_xlfn.FILTER('기록'!$C$2:$C$181,('기록'!$C$2:$C$181&lt;&gt;"")*('기록'!$A$2:$A$181&gt;=$B$1)*('기록'!$A$2:$A$181&lt;=$B$2))),152),"")</f>
      </c>
      <c r="I156">
        <f>IF(H156="","",COUNTA(_xlfn.UNIQUE(_xlfn.FILTER('기록'!$A:$A,(('기록'!$C:$C=H156)*('기록'!$A:$A&gt;=$B$1)*('기록'!$A:$A&lt;=$B$2))))))</f>
      </c>
      <c r="J156">
        <f>IF(H156="","",COUNTIFS('기록'!$C:$C,H156,'기록'!$A:$A,"&gt;="&amp;$B$1,'기록'!$A:$A,"&lt;="&amp;$B$2))</f>
      </c>
      <c r="K156">
        <f>IF(H156="","",_xlfn.TEXTJOIN(", ",TRUE,_xlfn.UNIQUE(_xlfn.FILTER('기록'!$A:$A,(('기록'!$C:$C=H156)*('기록'!$A:$A&gt;=$B$1)*('기록'!$A:$A&lt;=$B$2))))))</f>
      </c>
      <c r="L156">
        <f>IF(H156="","",I156)</f>
      </c>
    </row>
    <row r="157" spans="1:12" x14ac:dyDescent="0.25">
      <c r="A157">
        <f>IFERROR(INDEX($N$5:$Q$204,153,1),"")</f>
      </c>
      <c r="B157">
        <f>IFERROR(INDEX($N$5:$Q$204,153,2),"")</f>
      </c>
      <c r="C157">
        <f>IFERROR(INDEX($N$5:$Q$204,153,3),"")</f>
      </c>
      <c r="D157">
        <f>IFERROR(INDEX($N$5:$Q$204,153,4),"")</f>
      </c>
      <c r="H157">
        <f>IFERROR(INDEX(_xlfn.UNIQUE(_xlfn.FILTER('기록'!$C$2:$C$181,('기록'!$C$2:$C$181&lt;&gt;"")*('기록'!$A$2:$A$181&gt;=$B$1)*('기록'!$A$2:$A$181&lt;=$B$2))),153),"")</f>
      </c>
      <c r="I157">
        <f>IF(H157="","",COUNTA(_xlfn.UNIQUE(_xlfn.FILTER('기록'!$A:$A,(('기록'!$C:$C=H157)*('기록'!$A:$A&gt;=$B$1)*('기록'!$A:$A&lt;=$B$2))))))</f>
      </c>
      <c r="J157">
        <f>IF(H157="","",COUNTIFS('기록'!$C:$C,H157,'기록'!$A:$A,"&gt;="&amp;$B$1,'기록'!$A:$A,"&lt;="&amp;$B$2))</f>
      </c>
      <c r="K157">
        <f>IF(H157="","",_xlfn.TEXTJOIN(", ",TRUE,_xlfn.UNIQUE(_xlfn.FILTER('기록'!$A:$A,(('기록'!$C:$C=H157)*('기록'!$A:$A&gt;=$B$1)*('기록'!$A:$A&lt;=$B$2))))))</f>
      </c>
      <c r="L157">
        <f>IF(H157="","",I157)</f>
      </c>
    </row>
    <row r="158" spans="1:12" x14ac:dyDescent="0.25">
      <c r="A158">
        <f>IFERROR(INDEX($N$5:$Q$204,154,1),"")</f>
      </c>
      <c r="B158">
        <f>IFERROR(INDEX($N$5:$Q$204,154,2),"")</f>
      </c>
      <c r="C158">
        <f>IFERROR(INDEX($N$5:$Q$204,154,3),"")</f>
      </c>
      <c r="D158">
        <f>IFERROR(INDEX($N$5:$Q$204,154,4),"")</f>
      </c>
      <c r="H158">
        <f>IFERROR(INDEX(_xlfn.UNIQUE(_xlfn.FILTER('기록'!$C$2:$C$181,('기록'!$C$2:$C$181&lt;&gt;"")*('기록'!$A$2:$A$181&gt;=$B$1)*('기록'!$A$2:$A$181&lt;=$B$2))),154),"")</f>
      </c>
      <c r="I158">
        <f>IF(H158="","",COUNTA(_xlfn.UNIQUE(_xlfn.FILTER('기록'!$A:$A,(('기록'!$C:$C=H158)*('기록'!$A:$A&gt;=$B$1)*('기록'!$A:$A&lt;=$B$2))))))</f>
      </c>
      <c r="J158">
        <f>IF(H158="","",COUNTIFS('기록'!$C:$C,H158,'기록'!$A:$A,"&gt;="&amp;$B$1,'기록'!$A:$A,"&lt;="&amp;$B$2))</f>
      </c>
      <c r="K158">
        <f>IF(H158="","",_xlfn.TEXTJOIN(", ",TRUE,_xlfn.UNIQUE(_xlfn.FILTER('기록'!$A:$A,(('기록'!$C:$C=H158)*('기록'!$A:$A&gt;=$B$1)*('기록'!$A:$A&lt;=$B$2))))))</f>
      </c>
      <c r="L158">
        <f>IF(H158="","",I158)</f>
      </c>
    </row>
    <row r="159" spans="1:12" x14ac:dyDescent="0.25">
      <c r="A159">
        <f>IFERROR(INDEX($N$5:$Q$204,155,1),"")</f>
      </c>
      <c r="B159">
        <f>IFERROR(INDEX($N$5:$Q$204,155,2),"")</f>
      </c>
      <c r="C159">
        <f>IFERROR(INDEX($N$5:$Q$204,155,3),"")</f>
      </c>
      <c r="D159">
        <f>IFERROR(INDEX($N$5:$Q$204,155,4),"")</f>
      </c>
      <c r="H159">
        <f>IFERROR(INDEX(_xlfn.UNIQUE(_xlfn.FILTER('기록'!$C$2:$C$181,('기록'!$C$2:$C$181&lt;&gt;"")*('기록'!$A$2:$A$181&gt;=$B$1)*('기록'!$A$2:$A$181&lt;=$B$2))),155),"")</f>
      </c>
      <c r="I159">
        <f>IF(H159="","",COUNTA(_xlfn.UNIQUE(_xlfn.FILTER('기록'!$A:$A,(('기록'!$C:$C=H159)*('기록'!$A:$A&gt;=$B$1)*('기록'!$A:$A&lt;=$B$2))))))</f>
      </c>
      <c r="J159">
        <f>IF(H159="","",COUNTIFS('기록'!$C:$C,H159,'기록'!$A:$A,"&gt;="&amp;$B$1,'기록'!$A:$A,"&lt;="&amp;$B$2))</f>
      </c>
      <c r="K159">
        <f>IF(H159="","",_xlfn.TEXTJOIN(", ",TRUE,_xlfn.UNIQUE(_xlfn.FILTER('기록'!$A:$A,(('기록'!$C:$C=H159)*('기록'!$A:$A&gt;=$B$1)*('기록'!$A:$A&lt;=$B$2))))))</f>
      </c>
      <c r="L159">
        <f>IF(H159="","",I159)</f>
      </c>
    </row>
    <row r="160" spans="1:12" x14ac:dyDescent="0.25">
      <c r="A160">
        <f>IFERROR(INDEX($N$5:$Q$204,156,1),"")</f>
      </c>
      <c r="B160">
        <f>IFERROR(INDEX($N$5:$Q$204,156,2),"")</f>
      </c>
      <c r="C160">
        <f>IFERROR(INDEX($N$5:$Q$204,156,3),"")</f>
      </c>
      <c r="D160">
        <f>IFERROR(INDEX($N$5:$Q$204,156,4),"")</f>
      </c>
      <c r="H160">
        <f>IFERROR(INDEX(_xlfn.UNIQUE(_xlfn.FILTER('기록'!$C$2:$C$181,('기록'!$C$2:$C$181&lt;&gt;"")*('기록'!$A$2:$A$181&gt;=$B$1)*('기록'!$A$2:$A$181&lt;=$B$2))),156),"")</f>
      </c>
      <c r="I160">
        <f>IF(H160="","",COUNTA(_xlfn.UNIQUE(_xlfn.FILTER('기록'!$A:$A,(('기록'!$C:$C=H160)*('기록'!$A:$A&gt;=$B$1)*('기록'!$A:$A&lt;=$B$2))))))</f>
      </c>
      <c r="J160">
        <f>IF(H160="","",COUNTIFS('기록'!$C:$C,H160,'기록'!$A:$A,"&gt;="&amp;$B$1,'기록'!$A:$A,"&lt;="&amp;$B$2))</f>
      </c>
      <c r="K160">
        <f>IF(H160="","",_xlfn.TEXTJOIN(", ",TRUE,_xlfn.UNIQUE(_xlfn.FILTER('기록'!$A:$A,(('기록'!$C:$C=H160)*('기록'!$A:$A&gt;=$B$1)*('기록'!$A:$A&lt;=$B$2))))))</f>
      </c>
      <c r="L160">
        <f>IF(H160="","",I160)</f>
      </c>
    </row>
    <row r="161" spans="1:12" x14ac:dyDescent="0.25">
      <c r="A161">
        <f>IFERROR(INDEX($N$5:$Q$204,157,1),"")</f>
      </c>
      <c r="B161">
        <f>IFERROR(INDEX($N$5:$Q$204,157,2),"")</f>
      </c>
      <c r="C161">
        <f>IFERROR(INDEX($N$5:$Q$204,157,3),"")</f>
      </c>
      <c r="D161">
        <f>IFERROR(INDEX($N$5:$Q$204,157,4),"")</f>
      </c>
      <c r="H161">
        <f>IFERROR(INDEX(_xlfn.UNIQUE(_xlfn.FILTER('기록'!$C$2:$C$181,('기록'!$C$2:$C$181&lt;&gt;"")*('기록'!$A$2:$A$181&gt;=$B$1)*('기록'!$A$2:$A$181&lt;=$B$2))),157),"")</f>
      </c>
      <c r="I161">
        <f>IF(H161="","",COUNTA(_xlfn.UNIQUE(_xlfn.FILTER('기록'!$A:$A,(('기록'!$C:$C=H161)*('기록'!$A:$A&gt;=$B$1)*('기록'!$A:$A&lt;=$B$2))))))</f>
      </c>
      <c r="J161">
        <f>IF(H161="","",COUNTIFS('기록'!$C:$C,H161,'기록'!$A:$A,"&gt;="&amp;$B$1,'기록'!$A:$A,"&lt;="&amp;$B$2))</f>
      </c>
      <c r="K161">
        <f>IF(H161="","",_xlfn.TEXTJOIN(", ",TRUE,_xlfn.UNIQUE(_xlfn.FILTER('기록'!$A:$A,(('기록'!$C:$C=H161)*('기록'!$A:$A&gt;=$B$1)*('기록'!$A:$A&lt;=$B$2))))))</f>
      </c>
      <c r="L161">
        <f>IF(H161="","",I161)</f>
      </c>
    </row>
    <row r="162" spans="1:12" x14ac:dyDescent="0.25">
      <c r="A162">
        <f>IFERROR(INDEX($N$5:$Q$204,158,1),"")</f>
      </c>
      <c r="B162">
        <f>IFERROR(INDEX($N$5:$Q$204,158,2),"")</f>
      </c>
      <c r="C162">
        <f>IFERROR(INDEX($N$5:$Q$204,158,3),"")</f>
      </c>
      <c r="D162">
        <f>IFERROR(INDEX($N$5:$Q$204,158,4),"")</f>
      </c>
      <c r="H162">
        <f>IFERROR(INDEX(_xlfn.UNIQUE(_xlfn.FILTER('기록'!$C$2:$C$181,('기록'!$C$2:$C$181&lt;&gt;"")*('기록'!$A$2:$A$181&gt;=$B$1)*('기록'!$A$2:$A$181&lt;=$B$2))),158),"")</f>
      </c>
      <c r="I162">
        <f>IF(H162="","",COUNTA(_xlfn.UNIQUE(_xlfn.FILTER('기록'!$A:$A,(('기록'!$C:$C=H162)*('기록'!$A:$A&gt;=$B$1)*('기록'!$A:$A&lt;=$B$2))))))</f>
      </c>
      <c r="J162">
        <f>IF(H162="","",COUNTIFS('기록'!$C:$C,H162,'기록'!$A:$A,"&gt;="&amp;$B$1,'기록'!$A:$A,"&lt;="&amp;$B$2))</f>
      </c>
      <c r="K162">
        <f>IF(H162="","",_xlfn.TEXTJOIN(", ",TRUE,_xlfn.UNIQUE(_xlfn.FILTER('기록'!$A:$A,(('기록'!$C:$C=H162)*('기록'!$A:$A&gt;=$B$1)*('기록'!$A:$A&lt;=$B$2))))))</f>
      </c>
      <c r="L162">
        <f>IF(H162="","",I162)</f>
      </c>
    </row>
    <row r="163" spans="1:12" x14ac:dyDescent="0.25">
      <c r="A163">
        <f>IFERROR(INDEX($N$5:$Q$204,159,1),"")</f>
      </c>
      <c r="B163">
        <f>IFERROR(INDEX($N$5:$Q$204,159,2),"")</f>
      </c>
      <c r="C163">
        <f>IFERROR(INDEX($N$5:$Q$204,159,3),"")</f>
      </c>
      <c r="D163">
        <f>IFERROR(INDEX($N$5:$Q$204,159,4),"")</f>
      </c>
      <c r="H163">
        <f>IFERROR(INDEX(_xlfn.UNIQUE(_xlfn.FILTER('기록'!$C$2:$C$181,('기록'!$C$2:$C$181&lt;&gt;"")*('기록'!$A$2:$A$181&gt;=$B$1)*('기록'!$A$2:$A$181&lt;=$B$2))),159),"")</f>
      </c>
      <c r="I163">
        <f>IF(H163="","",COUNTA(_xlfn.UNIQUE(_xlfn.FILTER('기록'!$A:$A,(('기록'!$C:$C=H163)*('기록'!$A:$A&gt;=$B$1)*('기록'!$A:$A&lt;=$B$2))))))</f>
      </c>
      <c r="J163">
        <f>IF(H163="","",COUNTIFS('기록'!$C:$C,H163,'기록'!$A:$A,"&gt;="&amp;$B$1,'기록'!$A:$A,"&lt;="&amp;$B$2))</f>
      </c>
      <c r="K163">
        <f>IF(H163="","",_xlfn.TEXTJOIN(", ",TRUE,_xlfn.UNIQUE(_xlfn.FILTER('기록'!$A:$A,(('기록'!$C:$C=H163)*('기록'!$A:$A&gt;=$B$1)*('기록'!$A:$A&lt;=$B$2))))))</f>
      </c>
      <c r="L163">
        <f>IF(H163="","",I163)</f>
      </c>
    </row>
    <row r="164" spans="1:12" x14ac:dyDescent="0.25">
      <c r="A164">
        <f>IFERROR(INDEX($N$5:$Q$204,160,1),"")</f>
      </c>
      <c r="B164">
        <f>IFERROR(INDEX($N$5:$Q$204,160,2),"")</f>
      </c>
      <c r="C164">
        <f>IFERROR(INDEX($N$5:$Q$204,160,3),"")</f>
      </c>
      <c r="D164">
        <f>IFERROR(INDEX($N$5:$Q$204,160,4),"")</f>
      </c>
      <c r="H164">
        <f>IFERROR(INDEX(_xlfn.UNIQUE(_xlfn.FILTER('기록'!$C$2:$C$181,('기록'!$C$2:$C$181&lt;&gt;"")*('기록'!$A$2:$A$181&gt;=$B$1)*('기록'!$A$2:$A$181&lt;=$B$2))),160),"")</f>
      </c>
      <c r="I164">
        <f>IF(H164="","",COUNTA(_xlfn.UNIQUE(_xlfn.FILTER('기록'!$A:$A,(('기록'!$C:$C=H164)*('기록'!$A:$A&gt;=$B$1)*('기록'!$A:$A&lt;=$B$2))))))</f>
      </c>
      <c r="J164">
        <f>IF(H164="","",COUNTIFS('기록'!$C:$C,H164,'기록'!$A:$A,"&gt;="&amp;$B$1,'기록'!$A:$A,"&lt;="&amp;$B$2))</f>
      </c>
      <c r="K164">
        <f>IF(H164="","",_xlfn.TEXTJOIN(", ",TRUE,_xlfn.UNIQUE(_xlfn.FILTER('기록'!$A:$A,(('기록'!$C:$C=H164)*('기록'!$A:$A&gt;=$B$1)*('기록'!$A:$A&lt;=$B$2))))))</f>
      </c>
      <c r="L164">
        <f>IF(H164="","",I164)</f>
      </c>
    </row>
    <row r="165" spans="1:12" x14ac:dyDescent="0.25">
      <c r="A165">
        <f>IFERROR(INDEX($N$5:$Q$204,161,1),"")</f>
      </c>
      <c r="B165">
        <f>IFERROR(INDEX($N$5:$Q$204,161,2),"")</f>
      </c>
      <c r="C165">
        <f>IFERROR(INDEX($N$5:$Q$204,161,3),"")</f>
      </c>
      <c r="D165">
        <f>IFERROR(INDEX($N$5:$Q$204,161,4),"")</f>
      </c>
      <c r="H165">
        <f>IFERROR(INDEX(_xlfn.UNIQUE(_xlfn.FILTER('기록'!$C$2:$C$181,('기록'!$C$2:$C$181&lt;&gt;"")*('기록'!$A$2:$A$181&gt;=$B$1)*('기록'!$A$2:$A$181&lt;=$B$2))),161),"")</f>
      </c>
      <c r="I165">
        <f>IF(H165="","",COUNTA(_xlfn.UNIQUE(_xlfn.FILTER('기록'!$A:$A,(('기록'!$C:$C=H165)*('기록'!$A:$A&gt;=$B$1)*('기록'!$A:$A&lt;=$B$2))))))</f>
      </c>
      <c r="J165">
        <f>IF(H165="","",COUNTIFS('기록'!$C:$C,H165,'기록'!$A:$A,"&gt;="&amp;$B$1,'기록'!$A:$A,"&lt;="&amp;$B$2))</f>
      </c>
      <c r="K165">
        <f>IF(H165="","",_xlfn.TEXTJOIN(", ",TRUE,_xlfn.UNIQUE(_xlfn.FILTER('기록'!$A:$A,(('기록'!$C:$C=H165)*('기록'!$A:$A&gt;=$B$1)*('기록'!$A:$A&lt;=$B$2))))))</f>
      </c>
      <c r="L165">
        <f>IF(H165="","",I165)</f>
      </c>
    </row>
    <row r="166" spans="1:12" x14ac:dyDescent="0.25">
      <c r="A166">
        <f>IFERROR(INDEX($N$5:$Q$204,162,1),"")</f>
      </c>
      <c r="B166">
        <f>IFERROR(INDEX($N$5:$Q$204,162,2),"")</f>
      </c>
      <c r="C166">
        <f>IFERROR(INDEX($N$5:$Q$204,162,3),"")</f>
      </c>
      <c r="D166">
        <f>IFERROR(INDEX($N$5:$Q$204,162,4),"")</f>
      </c>
      <c r="H166">
        <f>IFERROR(INDEX(_xlfn.UNIQUE(_xlfn.FILTER('기록'!$C$2:$C$181,('기록'!$C$2:$C$181&lt;&gt;"")*('기록'!$A$2:$A$181&gt;=$B$1)*('기록'!$A$2:$A$181&lt;=$B$2))),162),"")</f>
      </c>
      <c r="I166">
        <f>IF(H166="","",COUNTA(_xlfn.UNIQUE(_xlfn.FILTER('기록'!$A:$A,(('기록'!$C:$C=H166)*('기록'!$A:$A&gt;=$B$1)*('기록'!$A:$A&lt;=$B$2))))))</f>
      </c>
      <c r="J166">
        <f>IF(H166="","",COUNTIFS('기록'!$C:$C,H166,'기록'!$A:$A,"&gt;="&amp;$B$1,'기록'!$A:$A,"&lt;="&amp;$B$2))</f>
      </c>
      <c r="K166">
        <f>IF(H166="","",_xlfn.TEXTJOIN(", ",TRUE,_xlfn.UNIQUE(_xlfn.FILTER('기록'!$A:$A,(('기록'!$C:$C=H166)*('기록'!$A:$A&gt;=$B$1)*('기록'!$A:$A&lt;=$B$2))))))</f>
      </c>
      <c r="L166">
        <f>IF(H166="","",I166)</f>
      </c>
    </row>
    <row r="167" spans="1:12" x14ac:dyDescent="0.25">
      <c r="A167">
        <f>IFERROR(INDEX($N$5:$Q$204,163,1),"")</f>
      </c>
      <c r="B167">
        <f>IFERROR(INDEX($N$5:$Q$204,163,2),"")</f>
      </c>
      <c r="C167">
        <f>IFERROR(INDEX($N$5:$Q$204,163,3),"")</f>
      </c>
      <c r="D167">
        <f>IFERROR(INDEX($N$5:$Q$204,163,4),"")</f>
      </c>
      <c r="H167">
        <f>IFERROR(INDEX(_xlfn.UNIQUE(_xlfn.FILTER('기록'!$C$2:$C$181,('기록'!$C$2:$C$181&lt;&gt;"")*('기록'!$A$2:$A$181&gt;=$B$1)*('기록'!$A$2:$A$181&lt;=$B$2))),163),"")</f>
      </c>
      <c r="I167">
        <f>IF(H167="","",COUNTA(_xlfn.UNIQUE(_xlfn.FILTER('기록'!$A:$A,(('기록'!$C:$C=H167)*('기록'!$A:$A&gt;=$B$1)*('기록'!$A:$A&lt;=$B$2))))))</f>
      </c>
      <c r="J167">
        <f>IF(H167="","",COUNTIFS('기록'!$C:$C,H167,'기록'!$A:$A,"&gt;="&amp;$B$1,'기록'!$A:$A,"&lt;="&amp;$B$2))</f>
      </c>
      <c r="K167">
        <f>IF(H167="","",_xlfn.TEXTJOIN(", ",TRUE,_xlfn.UNIQUE(_xlfn.FILTER('기록'!$A:$A,(('기록'!$C:$C=H167)*('기록'!$A:$A&gt;=$B$1)*('기록'!$A:$A&lt;=$B$2))))))</f>
      </c>
      <c r="L167">
        <f>IF(H167="","",I167)</f>
      </c>
    </row>
    <row r="168" spans="1:12" x14ac:dyDescent="0.25">
      <c r="A168">
        <f>IFERROR(INDEX($N$5:$Q$204,164,1),"")</f>
      </c>
      <c r="B168">
        <f>IFERROR(INDEX($N$5:$Q$204,164,2),"")</f>
      </c>
      <c r="C168">
        <f>IFERROR(INDEX($N$5:$Q$204,164,3),"")</f>
      </c>
      <c r="D168">
        <f>IFERROR(INDEX($N$5:$Q$204,164,4),"")</f>
      </c>
      <c r="H168">
        <f>IFERROR(INDEX(_xlfn.UNIQUE(_xlfn.FILTER('기록'!$C$2:$C$181,('기록'!$C$2:$C$181&lt;&gt;"")*('기록'!$A$2:$A$181&gt;=$B$1)*('기록'!$A$2:$A$181&lt;=$B$2))),164),"")</f>
      </c>
      <c r="I168">
        <f>IF(H168="","",COUNTA(_xlfn.UNIQUE(_xlfn.FILTER('기록'!$A:$A,(('기록'!$C:$C=H168)*('기록'!$A:$A&gt;=$B$1)*('기록'!$A:$A&lt;=$B$2))))))</f>
      </c>
      <c r="J168">
        <f>IF(H168="","",COUNTIFS('기록'!$C:$C,H168,'기록'!$A:$A,"&gt;="&amp;$B$1,'기록'!$A:$A,"&lt;="&amp;$B$2))</f>
      </c>
      <c r="K168">
        <f>IF(H168="","",_xlfn.TEXTJOIN(", ",TRUE,_xlfn.UNIQUE(_xlfn.FILTER('기록'!$A:$A,(('기록'!$C:$C=H168)*('기록'!$A:$A&gt;=$B$1)*('기록'!$A:$A&lt;=$B$2))))))</f>
      </c>
      <c r="L168">
        <f>IF(H168="","",I168)</f>
      </c>
    </row>
    <row r="169" spans="1:12" x14ac:dyDescent="0.25">
      <c r="A169">
        <f>IFERROR(INDEX($N$5:$Q$204,165,1),"")</f>
      </c>
      <c r="B169">
        <f>IFERROR(INDEX($N$5:$Q$204,165,2),"")</f>
      </c>
      <c r="C169">
        <f>IFERROR(INDEX($N$5:$Q$204,165,3),"")</f>
      </c>
      <c r="D169">
        <f>IFERROR(INDEX($N$5:$Q$204,165,4),"")</f>
      </c>
      <c r="H169">
        <f>IFERROR(INDEX(_xlfn.UNIQUE(_xlfn.FILTER('기록'!$C$2:$C$181,('기록'!$C$2:$C$181&lt;&gt;"")*('기록'!$A$2:$A$181&gt;=$B$1)*('기록'!$A$2:$A$181&lt;=$B$2))),165),"")</f>
      </c>
      <c r="I169">
        <f>IF(H169="","",COUNTA(_xlfn.UNIQUE(_xlfn.FILTER('기록'!$A:$A,(('기록'!$C:$C=H169)*('기록'!$A:$A&gt;=$B$1)*('기록'!$A:$A&lt;=$B$2))))))</f>
      </c>
      <c r="J169">
        <f>IF(H169="","",COUNTIFS('기록'!$C:$C,H169,'기록'!$A:$A,"&gt;="&amp;$B$1,'기록'!$A:$A,"&lt;="&amp;$B$2))</f>
      </c>
      <c r="K169">
        <f>IF(H169="","",_xlfn.TEXTJOIN(", ",TRUE,_xlfn.UNIQUE(_xlfn.FILTER('기록'!$A:$A,(('기록'!$C:$C=H169)*('기록'!$A:$A&gt;=$B$1)*('기록'!$A:$A&lt;=$B$2))))))</f>
      </c>
      <c r="L169">
        <f>IF(H169="","",I169)</f>
      </c>
    </row>
    <row r="170" spans="1:12" x14ac:dyDescent="0.25">
      <c r="A170">
        <f>IFERROR(INDEX($N$5:$Q$204,166,1),"")</f>
      </c>
      <c r="B170">
        <f>IFERROR(INDEX($N$5:$Q$204,166,2),"")</f>
      </c>
      <c r="C170">
        <f>IFERROR(INDEX($N$5:$Q$204,166,3),"")</f>
      </c>
      <c r="D170">
        <f>IFERROR(INDEX($N$5:$Q$204,166,4),"")</f>
      </c>
      <c r="H170">
        <f>IFERROR(INDEX(_xlfn.UNIQUE(_xlfn.FILTER('기록'!$C$2:$C$181,('기록'!$C$2:$C$181&lt;&gt;"")*('기록'!$A$2:$A$181&gt;=$B$1)*('기록'!$A$2:$A$181&lt;=$B$2))),166),"")</f>
      </c>
      <c r="I170">
        <f>IF(H170="","",COUNTA(_xlfn.UNIQUE(_xlfn.FILTER('기록'!$A:$A,(('기록'!$C:$C=H170)*('기록'!$A:$A&gt;=$B$1)*('기록'!$A:$A&lt;=$B$2))))))</f>
      </c>
      <c r="J170">
        <f>IF(H170="","",COUNTIFS('기록'!$C:$C,H170,'기록'!$A:$A,"&gt;="&amp;$B$1,'기록'!$A:$A,"&lt;="&amp;$B$2))</f>
      </c>
      <c r="K170">
        <f>IF(H170="","",_xlfn.TEXTJOIN(", ",TRUE,_xlfn.UNIQUE(_xlfn.FILTER('기록'!$A:$A,(('기록'!$C:$C=H170)*('기록'!$A:$A&gt;=$B$1)*('기록'!$A:$A&lt;=$B$2))))))</f>
      </c>
      <c r="L170">
        <f>IF(H170="","",I170)</f>
      </c>
    </row>
    <row r="171" spans="1:12" x14ac:dyDescent="0.25">
      <c r="A171">
        <f>IFERROR(INDEX($N$5:$Q$204,167,1),"")</f>
      </c>
      <c r="B171">
        <f>IFERROR(INDEX($N$5:$Q$204,167,2),"")</f>
      </c>
      <c r="C171">
        <f>IFERROR(INDEX($N$5:$Q$204,167,3),"")</f>
      </c>
      <c r="D171">
        <f>IFERROR(INDEX($N$5:$Q$204,167,4),"")</f>
      </c>
      <c r="H171">
        <f>IFERROR(INDEX(_xlfn.UNIQUE(_xlfn.FILTER('기록'!$C$2:$C$181,('기록'!$C$2:$C$181&lt;&gt;"")*('기록'!$A$2:$A$181&gt;=$B$1)*('기록'!$A$2:$A$181&lt;=$B$2))),167),"")</f>
      </c>
      <c r="I171">
        <f>IF(H171="","",COUNTA(_xlfn.UNIQUE(_xlfn.FILTER('기록'!$A:$A,(('기록'!$C:$C=H171)*('기록'!$A:$A&gt;=$B$1)*('기록'!$A:$A&lt;=$B$2))))))</f>
      </c>
      <c r="J171">
        <f>IF(H171="","",COUNTIFS('기록'!$C:$C,H171,'기록'!$A:$A,"&gt;="&amp;$B$1,'기록'!$A:$A,"&lt;="&amp;$B$2))</f>
      </c>
      <c r="K171">
        <f>IF(H171="","",_xlfn.TEXTJOIN(", ",TRUE,_xlfn.UNIQUE(_xlfn.FILTER('기록'!$A:$A,(('기록'!$C:$C=H171)*('기록'!$A:$A&gt;=$B$1)*('기록'!$A:$A&lt;=$B$2))))))</f>
      </c>
      <c r="L171">
        <f>IF(H171="","",I171)</f>
      </c>
    </row>
    <row r="172" spans="1:12" x14ac:dyDescent="0.25">
      <c r="A172">
        <f>IFERROR(INDEX($N$5:$Q$204,168,1),"")</f>
      </c>
      <c r="B172">
        <f>IFERROR(INDEX($N$5:$Q$204,168,2),"")</f>
      </c>
      <c r="C172">
        <f>IFERROR(INDEX($N$5:$Q$204,168,3),"")</f>
      </c>
      <c r="D172">
        <f>IFERROR(INDEX($N$5:$Q$204,168,4),"")</f>
      </c>
      <c r="H172">
        <f>IFERROR(INDEX(_xlfn.UNIQUE(_xlfn.FILTER('기록'!$C$2:$C$181,('기록'!$C$2:$C$181&lt;&gt;"")*('기록'!$A$2:$A$181&gt;=$B$1)*('기록'!$A$2:$A$181&lt;=$B$2))),168),"")</f>
      </c>
      <c r="I172">
        <f>IF(H172="","",COUNTA(_xlfn.UNIQUE(_xlfn.FILTER('기록'!$A:$A,(('기록'!$C:$C=H172)*('기록'!$A:$A&gt;=$B$1)*('기록'!$A:$A&lt;=$B$2))))))</f>
      </c>
      <c r="J172">
        <f>IF(H172="","",COUNTIFS('기록'!$C:$C,H172,'기록'!$A:$A,"&gt;="&amp;$B$1,'기록'!$A:$A,"&lt;="&amp;$B$2))</f>
      </c>
      <c r="K172">
        <f>IF(H172="","",_xlfn.TEXTJOIN(", ",TRUE,_xlfn.UNIQUE(_xlfn.FILTER('기록'!$A:$A,(('기록'!$C:$C=H172)*('기록'!$A:$A&gt;=$B$1)*('기록'!$A:$A&lt;=$B$2))))))</f>
      </c>
      <c r="L172">
        <f>IF(H172="","",I172)</f>
      </c>
    </row>
    <row r="173" spans="1:12" x14ac:dyDescent="0.25">
      <c r="A173">
        <f>IFERROR(INDEX($N$5:$Q$204,169,1),"")</f>
      </c>
      <c r="B173">
        <f>IFERROR(INDEX($N$5:$Q$204,169,2),"")</f>
      </c>
      <c r="C173">
        <f>IFERROR(INDEX($N$5:$Q$204,169,3),"")</f>
      </c>
      <c r="D173">
        <f>IFERROR(INDEX($N$5:$Q$204,169,4),"")</f>
      </c>
      <c r="H173">
        <f>IFERROR(INDEX(_xlfn.UNIQUE(_xlfn.FILTER('기록'!$C$2:$C$181,('기록'!$C$2:$C$181&lt;&gt;"")*('기록'!$A$2:$A$181&gt;=$B$1)*('기록'!$A$2:$A$181&lt;=$B$2))),169),"")</f>
      </c>
      <c r="I173">
        <f>IF(H173="","",COUNTA(_xlfn.UNIQUE(_xlfn.FILTER('기록'!$A:$A,(('기록'!$C:$C=H173)*('기록'!$A:$A&gt;=$B$1)*('기록'!$A:$A&lt;=$B$2))))))</f>
      </c>
      <c r="J173">
        <f>IF(H173="","",COUNTIFS('기록'!$C:$C,H173,'기록'!$A:$A,"&gt;="&amp;$B$1,'기록'!$A:$A,"&lt;="&amp;$B$2))</f>
      </c>
      <c r="K173">
        <f>IF(H173="","",_xlfn.TEXTJOIN(", ",TRUE,_xlfn.UNIQUE(_xlfn.FILTER('기록'!$A:$A,(('기록'!$C:$C=H173)*('기록'!$A:$A&gt;=$B$1)*('기록'!$A:$A&lt;=$B$2))))))</f>
      </c>
      <c r="L173">
        <f>IF(H173="","",I173)</f>
      </c>
    </row>
    <row r="174" spans="1:12" x14ac:dyDescent="0.25">
      <c r="A174">
        <f>IFERROR(INDEX($N$5:$Q$204,170,1),"")</f>
      </c>
      <c r="B174">
        <f>IFERROR(INDEX($N$5:$Q$204,170,2),"")</f>
      </c>
      <c r="C174">
        <f>IFERROR(INDEX($N$5:$Q$204,170,3),"")</f>
      </c>
      <c r="D174">
        <f>IFERROR(INDEX($N$5:$Q$204,170,4),"")</f>
      </c>
      <c r="H174">
        <f>IFERROR(INDEX(_xlfn.UNIQUE(_xlfn.FILTER('기록'!$C$2:$C$181,('기록'!$C$2:$C$181&lt;&gt;"")*('기록'!$A$2:$A$181&gt;=$B$1)*('기록'!$A$2:$A$181&lt;=$B$2))),170),"")</f>
      </c>
      <c r="I174">
        <f>IF(H174="","",COUNTA(_xlfn.UNIQUE(_xlfn.FILTER('기록'!$A:$A,(('기록'!$C:$C=H174)*('기록'!$A:$A&gt;=$B$1)*('기록'!$A:$A&lt;=$B$2))))))</f>
      </c>
      <c r="J174">
        <f>IF(H174="","",COUNTIFS('기록'!$C:$C,H174,'기록'!$A:$A,"&gt;="&amp;$B$1,'기록'!$A:$A,"&lt;="&amp;$B$2))</f>
      </c>
      <c r="K174">
        <f>IF(H174="","",_xlfn.TEXTJOIN(", ",TRUE,_xlfn.UNIQUE(_xlfn.FILTER('기록'!$A:$A,(('기록'!$C:$C=H174)*('기록'!$A:$A&gt;=$B$1)*('기록'!$A:$A&lt;=$B$2))))))</f>
      </c>
      <c r="L174">
        <f>IF(H174="","",I174)</f>
      </c>
    </row>
    <row r="175" spans="1:12" x14ac:dyDescent="0.25">
      <c r="A175">
        <f>IFERROR(INDEX($N$5:$Q$204,171,1),"")</f>
      </c>
      <c r="B175">
        <f>IFERROR(INDEX($N$5:$Q$204,171,2),"")</f>
      </c>
      <c r="C175">
        <f>IFERROR(INDEX($N$5:$Q$204,171,3),"")</f>
      </c>
      <c r="D175">
        <f>IFERROR(INDEX($N$5:$Q$204,171,4),"")</f>
      </c>
      <c r="H175">
        <f>IFERROR(INDEX(_xlfn.UNIQUE(_xlfn.FILTER('기록'!$C$2:$C$181,('기록'!$C$2:$C$181&lt;&gt;"")*('기록'!$A$2:$A$181&gt;=$B$1)*('기록'!$A$2:$A$181&lt;=$B$2))),171),"")</f>
      </c>
      <c r="I175">
        <f>IF(H175="","",COUNTA(_xlfn.UNIQUE(_xlfn.FILTER('기록'!$A:$A,(('기록'!$C:$C=H175)*('기록'!$A:$A&gt;=$B$1)*('기록'!$A:$A&lt;=$B$2))))))</f>
      </c>
      <c r="J175">
        <f>IF(H175="","",COUNTIFS('기록'!$C:$C,H175,'기록'!$A:$A,"&gt;="&amp;$B$1,'기록'!$A:$A,"&lt;="&amp;$B$2))</f>
      </c>
      <c r="K175">
        <f>IF(H175="","",_xlfn.TEXTJOIN(", ",TRUE,_xlfn.UNIQUE(_xlfn.FILTER('기록'!$A:$A,(('기록'!$C:$C=H175)*('기록'!$A:$A&gt;=$B$1)*('기록'!$A:$A&lt;=$B$2))))))</f>
      </c>
      <c r="L175">
        <f>IF(H175="","",I175)</f>
      </c>
    </row>
    <row r="176" spans="1:12" x14ac:dyDescent="0.25">
      <c r="A176">
        <f>IFERROR(INDEX($N$5:$Q$204,172,1),"")</f>
      </c>
      <c r="B176">
        <f>IFERROR(INDEX($N$5:$Q$204,172,2),"")</f>
      </c>
      <c r="C176">
        <f>IFERROR(INDEX($N$5:$Q$204,172,3),"")</f>
      </c>
      <c r="D176">
        <f>IFERROR(INDEX($N$5:$Q$204,172,4),"")</f>
      </c>
      <c r="H176">
        <f>IFERROR(INDEX(_xlfn.UNIQUE(_xlfn.FILTER('기록'!$C$2:$C$181,('기록'!$C$2:$C$181&lt;&gt;"")*('기록'!$A$2:$A$181&gt;=$B$1)*('기록'!$A$2:$A$181&lt;=$B$2))),172),"")</f>
      </c>
      <c r="I176">
        <f>IF(H176="","",COUNTA(_xlfn.UNIQUE(_xlfn.FILTER('기록'!$A:$A,(('기록'!$C:$C=H176)*('기록'!$A:$A&gt;=$B$1)*('기록'!$A:$A&lt;=$B$2))))))</f>
      </c>
      <c r="J176">
        <f>IF(H176="","",COUNTIFS('기록'!$C:$C,H176,'기록'!$A:$A,"&gt;="&amp;$B$1,'기록'!$A:$A,"&lt;="&amp;$B$2))</f>
      </c>
      <c r="K176">
        <f>IF(H176="","",_xlfn.TEXTJOIN(", ",TRUE,_xlfn.UNIQUE(_xlfn.FILTER('기록'!$A:$A,(('기록'!$C:$C=H176)*('기록'!$A:$A&gt;=$B$1)*('기록'!$A:$A&lt;=$B$2))))))</f>
      </c>
      <c r="L176">
        <f>IF(H176="","",I176)</f>
      </c>
    </row>
    <row r="177" spans="1:12" x14ac:dyDescent="0.25">
      <c r="A177">
        <f>IFERROR(INDEX($N$5:$Q$204,173,1),"")</f>
      </c>
      <c r="B177">
        <f>IFERROR(INDEX($N$5:$Q$204,173,2),"")</f>
      </c>
      <c r="C177">
        <f>IFERROR(INDEX($N$5:$Q$204,173,3),"")</f>
      </c>
      <c r="D177">
        <f>IFERROR(INDEX($N$5:$Q$204,173,4),"")</f>
      </c>
      <c r="H177">
        <f>IFERROR(INDEX(_xlfn.UNIQUE(_xlfn.FILTER('기록'!$C$2:$C$181,('기록'!$C$2:$C$181&lt;&gt;"")*('기록'!$A$2:$A$181&gt;=$B$1)*('기록'!$A$2:$A$181&lt;=$B$2))),173),"")</f>
      </c>
      <c r="I177">
        <f>IF(H177="","",COUNTA(_xlfn.UNIQUE(_xlfn.FILTER('기록'!$A:$A,(('기록'!$C:$C=H177)*('기록'!$A:$A&gt;=$B$1)*('기록'!$A:$A&lt;=$B$2))))))</f>
      </c>
      <c r="J177">
        <f>IF(H177="","",COUNTIFS('기록'!$C:$C,H177,'기록'!$A:$A,"&gt;="&amp;$B$1,'기록'!$A:$A,"&lt;="&amp;$B$2))</f>
      </c>
      <c r="K177">
        <f>IF(H177="","",_xlfn.TEXTJOIN(", ",TRUE,_xlfn.UNIQUE(_xlfn.FILTER('기록'!$A:$A,(('기록'!$C:$C=H177)*('기록'!$A:$A&gt;=$B$1)*('기록'!$A:$A&lt;=$B$2))))))</f>
      </c>
      <c r="L177">
        <f>IF(H177="","",I177)</f>
      </c>
    </row>
    <row r="178" spans="1:12" x14ac:dyDescent="0.25">
      <c r="A178">
        <f>IFERROR(INDEX($N$5:$Q$204,174,1),"")</f>
      </c>
      <c r="B178">
        <f>IFERROR(INDEX($N$5:$Q$204,174,2),"")</f>
      </c>
      <c r="C178">
        <f>IFERROR(INDEX($N$5:$Q$204,174,3),"")</f>
      </c>
      <c r="D178">
        <f>IFERROR(INDEX($N$5:$Q$204,174,4),"")</f>
      </c>
      <c r="H178">
        <f>IFERROR(INDEX(_xlfn.UNIQUE(_xlfn.FILTER('기록'!$C$2:$C$181,('기록'!$C$2:$C$181&lt;&gt;"")*('기록'!$A$2:$A$181&gt;=$B$1)*('기록'!$A$2:$A$181&lt;=$B$2))),174),"")</f>
      </c>
      <c r="I178">
        <f>IF(H178="","",COUNTA(_xlfn.UNIQUE(_xlfn.FILTER('기록'!$A:$A,(('기록'!$C:$C=H178)*('기록'!$A:$A&gt;=$B$1)*('기록'!$A:$A&lt;=$B$2))))))</f>
      </c>
      <c r="J178">
        <f>IF(H178="","",COUNTIFS('기록'!$C:$C,H178,'기록'!$A:$A,"&gt;="&amp;$B$1,'기록'!$A:$A,"&lt;="&amp;$B$2))</f>
      </c>
      <c r="K178">
        <f>IF(H178="","",_xlfn.TEXTJOIN(", ",TRUE,_xlfn.UNIQUE(_xlfn.FILTER('기록'!$A:$A,(('기록'!$C:$C=H178)*('기록'!$A:$A&gt;=$B$1)*('기록'!$A:$A&lt;=$B$2))))))</f>
      </c>
      <c r="L178">
        <f>IF(H178="","",I178)</f>
      </c>
    </row>
    <row r="179" spans="1:12" x14ac:dyDescent="0.25">
      <c r="A179">
        <f>IFERROR(INDEX($N$5:$Q$204,175,1),"")</f>
      </c>
      <c r="B179">
        <f>IFERROR(INDEX($N$5:$Q$204,175,2),"")</f>
      </c>
      <c r="C179">
        <f>IFERROR(INDEX($N$5:$Q$204,175,3),"")</f>
      </c>
      <c r="D179">
        <f>IFERROR(INDEX($N$5:$Q$204,175,4),"")</f>
      </c>
      <c r="H179">
        <f>IFERROR(INDEX(_xlfn.UNIQUE(_xlfn.FILTER('기록'!$C$2:$C$181,('기록'!$C$2:$C$181&lt;&gt;"")*('기록'!$A$2:$A$181&gt;=$B$1)*('기록'!$A$2:$A$181&lt;=$B$2))),175),"")</f>
      </c>
      <c r="I179">
        <f>IF(H179="","",COUNTA(_xlfn.UNIQUE(_xlfn.FILTER('기록'!$A:$A,(('기록'!$C:$C=H179)*('기록'!$A:$A&gt;=$B$1)*('기록'!$A:$A&lt;=$B$2))))))</f>
      </c>
      <c r="J179">
        <f>IF(H179="","",COUNTIFS('기록'!$C:$C,H179,'기록'!$A:$A,"&gt;="&amp;$B$1,'기록'!$A:$A,"&lt;="&amp;$B$2))</f>
      </c>
      <c r="K179">
        <f>IF(H179="","",_xlfn.TEXTJOIN(", ",TRUE,_xlfn.UNIQUE(_xlfn.FILTER('기록'!$A:$A,(('기록'!$C:$C=H179)*('기록'!$A:$A&gt;=$B$1)*('기록'!$A:$A&lt;=$B$2))))))</f>
      </c>
      <c r="L179">
        <f>IF(H179="","",I179)</f>
      </c>
    </row>
    <row r="180" spans="1:12" x14ac:dyDescent="0.25">
      <c r="A180">
        <f>IFERROR(INDEX($N$5:$Q$204,176,1),"")</f>
      </c>
      <c r="B180">
        <f>IFERROR(INDEX($N$5:$Q$204,176,2),"")</f>
      </c>
      <c r="C180">
        <f>IFERROR(INDEX($N$5:$Q$204,176,3),"")</f>
      </c>
      <c r="D180">
        <f>IFERROR(INDEX($N$5:$Q$204,176,4),"")</f>
      </c>
      <c r="H180">
        <f>IFERROR(INDEX(_xlfn.UNIQUE(_xlfn.FILTER('기록'!$C$2:$C$181,('기록'!$C$2:$C$181&lt;&gt;"")*('기록'!$A$2:$A$181&gt;=$B$1)*('기록'!$A$2:$A$181&lt;=$B$2))),176),"")</f>
      </c>
      <c r="I180">
        <f>IF(H180="","",COUNTA(_xlfn.UNIQUE(_xlfn.FILTER('기록'!$A:$A,(('기록'!$C:$C=H180)*('기록'!$A:$A&gt;=$B$1)*('기록'!$A:$A&lt;=$B$2))))))</f>
      </c>
      <c r="J180">
        <f>IF(H180="","",COUNTIFS('기록'!$C:$C,H180,'기록'!$A:$A,"&gt;="&amp;$B$1,'기록'!$A:$A,"&lt;="&amp;$B$2))</f>
      </c>
      <c r="K180">
        <f>IF(H180="","",_xlfn.TEXTJOIN(", ",TRUE,_xlfn.UNIQUE(_xlfn.FILTER('기록'!$A:$A,(('기록'!$C:$C=H180)*('기록'!$A:$A&gt;=$B$1)*('기록'!$A:$A&lt;=$B$2))))))</f>
      </c>
      <c r="L180">
        <f>IF(H180="","",I180)</f>
      </c>
    </row>
    <row r="181" spans="1:12" x14ac:dyDescent="0.25">
      <c r="A181">
        <f>IFERROR(INDEX($N$5:$Q$204,177,1),"")</f>
      </c>
      <c r="B181">
        <f>IFERROR(INDEX($N$5:$Q$204,177,2),"")</f>
      </c>
      <c r="C181">
        <f>IFERROR(INDEX($N$5:$Q$204,177,3),"")</f>
      </c>
      <c r="D181">
        <f>IFERROR(INDEX($N$5:$Q$204,177,4),"")</f>
      </c>
      <c r="H181">
        <f>IFERROR(INDEX(_xlfn.UNIQUE(_xlfn.FILTER('기록'!$C$2:$C$181,('기록'!$C$2:$C$181&lt;&gt;"")*('기록'!$A$2:$A$181&gt;=$B$1)*('기록'!$A$2:$A$181&lt;=$B$2))),177),"")</f>
      </c>
      <c r="I181">
        <f>IF(H181="","",COUNTA(_xlfn.UNIQUE(_xlfn.FILTER('기록'!$A:$A,(('기록'!$C:$C=H181)*('기록'!$A:$A&gt;=$B$1)*('기록'!$A:$A&lt;=$B$2))))))</f>
      </c>
      <c r="J181">
        <f>IF(H181="","",COUNTIFS('기록'!$C:$C,H181,'기록'!$A:$A,"&gt;="&amp;$B$1,'기록'!$A:$A,"&lt;="&amp;$B$2))</f>
      </c>
      <c r="K181">
        <f>IF(H181="","",_xlfn.TEXTJOIN(", ",TRUE,_xlfn.UNIQUE(_xlfn.FILTER('기록'!$A:$A,(('기록'!$C:$C=H181)*('기록'!$A:$A&gt;=$B$1)*('기록'!$A:$A&lt;=$B$2))))))</f>
      </c>
      <c r="L181">
        <f>IF(H181="","",I181)</f>
      </c>
    </row>
    <row r="182" spans="1:12" x14ac:dyDescent="0.25">
      <c r="A182">
        <f>IFERROR(INDEX($N$5:$Q$204,178,1),"")</f>
      </c>
      <c r="B182">
        <f>IFERROR(INDEX($N$5:$Q$204,178,2),"")</f>
      </c>
      <c r="C182">
        <f>IFERROR(INDEX($N$5:$Q$204,178,3),"")</f>
      </c>
      <c r="D182">
        <f>IFERROR(INDEX($N$5:$Q$204,178,4),"")</f>
      </c>
      <c r="H182">
        <f>IFERROR(INDEX(_xlfn.UNIQUE(_xlfn.FILTER('기록'!$C$2:$C$181,('기록'!$C$2:$C$181&lt;&gt;"")*('기록'!$A$2:$A$181&gt;=$B$1)*('기록'!$A$2:$A$181&lt;=$B$2))),178),"")</f>
      </c>
      <c r="I182">
        <f>IF(H182="","",COUNTA(_xlfn.UNIQUE(_xlfn.FILTER('기록'!$A:$A,(('기록'!$C:$C=H182)*('기록'!$A:$A&gt;=$B$1)*('기록'!$A:$A&lt;=$B$2))))))</f>
      </c>
      <c r="J182">
        <f>IF(H182="","",COUNTIFS('기록'!$C:$C,H182,'기록'!$A:$A,"&gt;="&amp;$B$1,'기록'!$A:$A,"&lt;="&amp;$B$2))</f>
      </c>
      <c r="K182">
        <f>IF(H182="","",_xlfn.TEXTJOIN(", ",TRUE,_xlfn.UNIQUE(_xlfn.FILTER('기록'!$A:$A,(('기록'!$C:$C=H182)*('기록'!$A:$A&gt;=$B$1)*('기록'!$A:$A&lt;=$B$2))))))</f>
      </c>
      <c r="L182">
        <f>IF(H182="","",I182)</f>
      </c>
    </row>
    <row r="183" spans="1:12" x14ac:dyDescent="0.25">
      <c r="A183">
        <f>IFERROR(INDEX($N$5:$Q$204,179,1),"")</f>
      </c>
      <c r="B183">
        <f>IFERROR(INDEX($N$5:$Q$204,179,2),"")</f>
      </c>
      <c r="C183">
        <f>IFERROR(INDEX($N$5:$Q$204,179,3),"")</f>
      </c>
      <c r="D183">
        <f>IFERROR(INDEX($N$5:$Q$204,179,4),"")</f>
      </c>
      <c r="H183">
        <f>IFERROR(INDEX(_xlfn.UNIQUE(_xlfn.FILTER('기록'!$C$2:$C$181,('기록'!$C$2:$C$181&lt;&gt;"")*('기록'!$A$2:$A$181&gt;=$B$1)*('기록'!$A$2:$A$181&lt;=$B$2))),179),"")</f>
      </c>
      <c r="I183">
        <f>IF(H183="","",COUNTA(_xlfn.UNIQUE(_xlfn.FILTER('기록'!$A:$A,(('기록'!$C:$C=H183)*('기록'!$A:$A&gt;=$B$1)*('기록'!$A:$A&lt;=$B$2))))))</f>
      </c>
      <c r="J183">
        <f>IF(H183="","",COUNTIFS('기록'!$C:$C,H183,'기록'!$A:$A,"&gt;="&amp;$B$1,'기록'!$A:$A,"&lt;="&amp;$B$2))</f>
      </c>
      <c r="K183">
        <f>IF(H183="","",_xlfn.TEXTJOIN(", ",TRUE,_xlfn.UNIQUE(_xlfn.FILTER('기록'!$A:$A,(('기록'!$C:$C=H183)*('기록'!$A:$A&gt;=$B$1)*('기록'!$A:$A&lt;=$B$2))))))</f>
      </c>
      <c r="L183">
        <f>IF(H183="","",I183)</f>
      </c>
    </row>
    <row r="184" spans="1:12" x14ac:dyDescent="0.25">
      <c r="A184">
        <f>IFERROR(INDEX($N$5:$Q$204,180,1),"")</f>
      </c>
      <c r="B184">
        <f>IFERROR(INDEX($N$5:$Q$204,180,2),"")</f>
      </c>
      <c r="C184">
        <f>IFERROR(INDEX($N$5:$Q$204,180,3),"")</f>
      </c>
      <c r="D184">
        <f>IFERROR(INDEX($N$5:$Q$204,180,4),"")</f>
      </c>
      <c r="H184">
        <f>IFERROR(INDEX(_xlfn.UNIQUE(_xlfn.FILTER('기록'!$C$2:$C$181,('기록'!$C$2:$C$181&lt;&gt;"")*('기록'!$A$2:$A$181&gt;=$B$1)*('기록'!$A$2:$A$181&lt;=$B$2))),180),"")</f>
      </c>
      <c r="I184">
        <f>IF(H184="","",COUNTA(_xlfn.UNIQUE(_xlfn.FILTER('기록'!$A:$A,(('기록'!$C:$C=H184)*('기록'!$A:$A&gt;=$B$1)*('기록'!$A:$A&lt;=$B$2))))))</f>
      </c>
      <c r="J184">
        <f>IF(H184="","",COUNTIFS('기록'!$C:$C,H184,'기록'!$A:$A,"&gt;="&amp;$B$1,'기록'!$A:$A,"&lt;="&amp;$B$2))</f>
      </c>
      <c r="K184">
        <f>IF(H184="","",_xlfn.TEXTJOIN(", ",TRUE,_xlfn.UNIQUE(_xlfn.FILTER('기록'!$A:$A,(('기록'!$C:$C=H184)*('기록'!$A:$A&gt;=$B$1)*('기록'!$A:$A&lt;=$B$2))))))</f>
      </c>
      <c r="L184">
        <f>IF(H184="","",I184)</f>
      </c>
    </row>
    <row r="185" spans="1:12" x14ac:dyDescent="0.25">
      <c r="A185">
        <f>IFERROR(INDEX($N$5:$Q$204,181,1),"")</f>
      </c>
      <c r="B185">
        <f>IFERROR(INDEX($N$5:$Q$204,181,2),"")</f>
      </c>
      <c r="C185">
        <f>IFERROR(INDEX($N$5:$Q$204,181,3),"")</f>
      </c>
      <c r="D185">
        <f>IFERROR(INDEX($N$5:$Q$204,181,4),"")</f>
      </c>
      <c r="H185">
        <f>IFERROR(INDEX(_xlfn.UNIQUE(_xlfn.FILTER('기록'!$C$2:$C$181,('기록'!$C$2:$C$181&lt;&gt;"")*('기록'!$A$2:$A$181&gt;=$B$1)*('기록'!$A$2:$A$181&lt;=$B$2))),181),"")</f>
      </c>
      <c r="I185">
        <f>IF(H185="","",COUNTA(_xlfn.UNIQUE(_xlfn.FILTER('기록'!$A:$A,(('기록'!$C:$C=H185)*('기록'!$A:$A&gt;=$B$1)*('기록'!$A:$A&lt;=$B$2))))))</f>
      </c>
      <c r="J185">
        <f>IF(H185="","",COUNTIFS('기록'!$C:$C,H185,'기록'!$A:$A,"&gt;="&amp;$B$1,'기록'!$A:$A,"&lt;="&amp;$B$2))</f>
      </c>
      <c r="K185">
        <f>IF(H185="","",_xlfn.TEXTJOIN(", ",TRUE,_xlfn.UNIQUE(_xlfn.FILTER('기록'!$A:$A,(('기록'!$C:$C=H185)*('기록'!$A:$A&gt;=$B$1)*('기록'!$A:$A&lt;=$B$2))))))</f>
      </c>
      <c r="L185">
        <f>IF(H185="","",I185)</f>
      </c>
    </row>
    <row r="186" spans="1:12" x14ac:dyDescent="0.25">
      <c r="A186">
        <f>IFERROR(INDEX($N$5:$Q$204,182,1),"")</f>
      </c>
      <c r="B186">
        <f>IFERROR(INDEX($N$5:$Q$204,182,2),"")</f>
      </c>
      <c r="C186">
        <f>IFERROR(INDEX($N$5:$Q$204,182,3),"")</f>
      </c>
      <c r="D186">
        <f>IFERROR(INDEX($N$5:$Q$204,182,4),"")</f>
      </c>
      <c r="H186">
        <f>IFERROR(INDEX(_xlfn.UNIQUE(_xlfn.FILTER('기록'!$C$2:$C$181,('기록'!$C$2:$C$181&lt;&gt;"")*('기록'!$A$2:$A$181&gt;=$B$1)*('기록'!$A$2:$A$181&lt;=$B$2))),182),"")</f>
      </c>
      <c r="I186">
        <f>IF(H186="","",COUNTA(_xlfn.UNIQUE(_xlfn.FILTER('기록'!$A:$A,(('기록'!$C:$C=H186)*('기록'!$A:$A&gt;=$B$1)*('기록'!$A:$A&lt;=$B$2))))))</f>
      </c>
      <c r="J186">
        <f>IF(H186="","",COUNTIFS('기록'!$C:$C,H186,'기록'!$A:$A,"&gt;="&amp;$B$1,'기록'!$A:$A,"&lt;="&amp;$B$2))</f>
      </c>
      <c r="K186">
        <f>IF(H186="","",_xlfn.TEXTJOIN(", ",TRUE,_xlfn.UNIQUE(_xlfn.FILTER('기록'!$A:$A,(('기록'!$C:$C=H186)*('기록'!$A:$A&gt;=$B$1)*('기록'!$A:$A&lt;=$B$2))))))</f>
      </c>
      <c r="L186">
        <f>IF(H186="","",I186)</f>
      </c>
    </row>
    <row r="187" spans="1:12" x14ac:dyDescent="0.25">
      <c r="A187">
        <f>IFERROR(INDEX($N$5:$Q$204,183,1),"")</f>
      </c>
      <c r="B187">
        <f>IFERROR(INDEX($N$5:$Q$204,183,2),"")</f>
      </c>
      <c r="C187">
        <f>IFERROR(INDEX($N$5:$Q$204,183,3),"")</f>
      </c>
      <c r="D187">
        <f>IFERROR(INDEX($N$5:$Q$204,183,4),"")</f>
      </c>
      <c r="H187">
        <f>IFERROR(INDEX(_xlfn.UNIQUE(_xlfn.FILTER('기록'!$C$2:$C$181,('기록'!$C$2:$C$181&lt;&gt;"")*('기록'!$A$2:$A$181&gt;=$B$1)*('기록'!$A$2:$A$181&lt;=$B$2))),183),"")</f>
      </c>
      <c r="I187">
        <f>IF(H187="","",COUNTA(_xlfn.UNIQUE(_xlfn.FILTER('기록'!$A:$A,(('기록'!$C:$C=H187)*('기록'!$A:$A&gt;=$B$1)*('기록'!$A:$A&lt;=$B$2))))))</f>
      </c>
      <c r="J187">
        <f>IF(H187="","",COUNTIFS('기록'!$C:$C,H187,'기록'!$A:$A,"&gt;="&amp;$B$1,'기록'!$A:$A,"&lt;="&amp;$B$2))</f>
      </c>
      <c r="K187">
        <f>IF(H187="","",_xlfn.TEXTJOIN(", ",TRUE,_xlfn.UNIQUE(_xlfn.FILTER('기록'!$A:$A,(('기록'!$C:$C=H187)*('기록'!$A:$A&gt;=$B$1)*('기록'!$A:$A&lt;=$B$2))))))</f>
      </c>
      <c r="L187">
        <f>IF(H187="","",I187)</f>
      </c>
    </row>
    <row r="188" spans="1:12" x14ac:dyDescent="0.25">
      <c r="A188">
        <f>IFERROR(INDEX($N$5:$Q$204,184,1),"")</f>
      </c>
      <c r="B188">
        <f>IFERROR(INDEX($N$5:$Q$204,184,2),"")</f>
      </c>
      <c r="C188">
        <f>IFERROR(INDEX($N$5:$Q$204,184,3),"")</f>
      </c>
      <c r="D188">
        <f>IFERROR(INDEX($N$5:$Q$204,184,4),"")</f>
      </c>
      <c r="H188">
        <f>IFERROR(INDEX(_xlfn.UNIQUE(_xlfn.FILTER('기록'!$C$2:$C$181,('기록'!$C$2:$C$181&lt;&gt;"")*('기록'!$A$2:$A$181&gt;=$B$1)*('기록'!$A$2:$A$181&lt;=$B$2))),184),"")</f>
      </c>
      <c r="I188">
        <f>IF(H188="","",COUNTA(_xlfn.UNIQUE(_xlfn.FILTER('기록'!$A:$A,(('기록'!$C:$C=H188)*('기록'!$A:$A&gt;=$B$1)*('기록'!$A:$A&lt;=$B$2))))))</f>
      </c>
      <c r="J188">
        <f>IF(H188="","",COUNTIFS('기록'!$C:$C,H188,'기록'!$A:$A,"&gt;="&amp;$B$1,'기록'!$A:$A,"&lt;="&amp;$B$2))</f>
      </c>
      <c r="K188">
        <f>IF(H188="","",_xlfn.TEXTJOIN(", ",TRUE,_xlfn.UNIQUE(_xlfn.FILTER('기록'!$A:$A,(('기록'!$C:$C=H188)*('기록'!$A:$A&gt;=$B$1)*('기록'!$A:$A&lt;=$B$2))))))</f>
      </c>
      <c r="L188">
        <f>IF(H188="","",I188)</f>
      </c>
    </row>
    <row r="189" spans="1:12" x14ac:dyDescent="0.25">
      <c r="A189">
        <f>IFERROR(INDEX($N$5:$Q$204,185,1),"")</f>
      </c>
      <c r="B189">
        <f>IFERROR(INDEX($N$5:$Q$204,185,2),"")</f>
      </c>
      <c r="C189">
        <f>IFERROR(INDEX($N$5:$Q$204,185,3),"")</f>
      </c>
      <c r="D189">
        <f>IFERROR(INDEX($N$5:$Q$204,185,4),"")</f>
      </c>
      <c r="H189">
        <f>IFERROR(INDEX(_xlfn.UNIQUE(_xlfn.FILTER('기록'!$C$2:$C$181,('기록'!$C$2:$C$181&lt;&gt;"")*('기록'!$A$2:$A$181&gt;=$B$1)*('기록'!$A$2:$A$181&lt;=$B$2))),185),"")</f>
      </c>
      <c r="I189">
        <f>IF(H189="","",COUNTA(_xlfn.UNIQUE(_xlfn.FILTER('기록'!$A:$A,(('기록'!$C:$C=H189)*('기록'!$A:$A&gt;=$B$1)*('기록'!$A:$A&lt;=$B$2))))))</f>
      </c>
      <c r="J189">
        <f>IF(H189="","",COUNTIFS('기록'!$C:$C,H189,'기록'!$A:$A,"&gt;="&amp;$B$1,'기록'!$A:$A,"&lt;="&amp;$B$2))</f>
      </c>
      <c r="K189">
        <f>IF(H189="","",_xlfn.TEXTJOIN(", ",TRUE,_xlfn.UNIQUE(_xlfn.FILTER('기록'!$A:$A,(('기록'!$C:$C=H189)*('기록'!$A:$A&gt;=$B$1)*('기록'!$A:$A&lt;=$B$2))))))</f>
      </c>
      <c r="L189">
        <f>IF(H189="","",I189)</f>
      </c>
    </row>
    <row r="190" spans="1:12" x14ac:dyDescent="0.25">
      <c r="A190">
        <f>IFERROR(INDEX($N$5:$Q$204,186,1),"")</f>
      </c>
      <c r="B190">
        <f>IFERROR(INDEX($N$5:$Q$204,186,2),"")</f>
      </c>
      <c r="C190">
        <f>IFERROR(INDEX($N$5:$Q$204,186,3),"")</f>
      </c>
      <c r="D190">
        <f>IFERROR(INDEX($N$5:$Q$204,186,4),"")</f>
      </c>
      <c r="H190">
        <f>IFERROR(INDEX(_xlfn.UNIQUE(_xlfn.FILTER('기록'!$C$2:$C$181,('기록'!$C$2:$C$181&lt;&gt;"")*('기록'!$A$2:$A$181&gt;=$B$1)*('기록'!$A$2:$A$181&lt;=$B$2))),186),"")</f>
      </c>
      <c r="I190">
        <f>IF(H190="","",COUNTA(_xlfn.UNIQUE(_xlfn.FILTER('기록'!$A:$A,(('기록'!$C:$C=H190)*('기록'!$A:$A&gt;=$B$1)*('기록'!$A:$A&lt;=$B$2))))))</f>
      </c>
      <c r="J190">
        <f>IF(H190="","",COUNTIFS('기록'!$C:$C,H190,'기록'!$A:$A,"&gt;="&amp;$B$1,'기록'!$A:$A,"&lt;="&amp;$B$2))</f>
      </c>
      <c r="K190">
        <f>IF(H190="","",_xlfn.TEXTJOIN(", ",TRUE,_xlfn.UNIQUE(_xlfn.FILTER('기록'!$A:$A,(('기록'!$C:$C=H190)*('기록'!$A:$A&gt;=$B$1)*('기록'!$A:$A&lt;=$B$2))))))</f>
      </c>
      <c r="L190">
        <f>IF(H190="","",I190)</f>
      </c>
    </row>
    <row r="191" spans="1:12" x14ac:dyDescent="0.25">
      <c r="A191">
        <f>IFERROR(INDEX($N$5:$Q$204,187,1),"")</f>
      </c>
      <c r="B191">
        <f>IFERROR(INDEX($N$5:$Q$204,187,2),"")</f>
      </c>
      <c r="C191">
        <f>IFERROR(INDEX($N$5:$Q$204,187,3),"")</f>
      </c>
      <c r="D191">
        <f>IFERROR(INDEX($N$5:$Q$204,187,4),"")</f>
      </c>
      <c r="H191">
        <f>IFERROR(INDEX(_xlfn.UNIQUE(_xlfn.FILTER('기록'!$C$2:$C$181,('기록'!$C$2:$C$181&lt;&gt;"")*('기록'!$A$2:$A$181&gt;=$B$1)*('기록'!$A$2:$A$181&lt;=$B$2))),187),"")</f>
      </c>
      <c r="I191">
        <f>IF(H191="","",COUNTA(_xlfn.UNIQUE(_xlfn.FILTER('기록'!$A:$A,(('기록'!$C:$C=H191)*('기록'!$A:$A&gt;=$B$1)*('기록'!$A:$A&lt;=$B$2))))))</f>
      </c>
      <c r="J191">
        <f>IF(H191="","",COUNTIFS('기록'!$C:$C,H191,'기록'!$A:$A,"&gt;="&amp;$B$1,'기록'!$A:$A,"&lt;="&amp;$B$2))</f>
      </c>
      <c r="K191">
        <f>IF(H191="","",_xlfn.TEXTJOIN(", ",TRUE,_xlfn.UNIQUE(_xlfn.FILTER('기록'!$A:$A,(('기록'!$C:$C=H191)*('기록'!$A:$A&gt;=$B$1)*('기록'!$A:$A&lt;=$B$2))))))</f>
      </c>
      <c r="L191">
        <f>IF(H191="","",I191)</f>
      </c>
    </row>
    <row r="192" spans="1:12" x14ac:dyDescent="0.25">
      <c r="A192">
        <f>IFERROR(INDEX($N$5:$Q$204,188,1),"")</f>
      </c>
      <c r="B192">
        <f>IFERROR(INDEX($N$5:$Q$204,188,2),"")</f>
      </c>
      <c r="C192">
        <f>IFERROR(INDEX($N$5:$Q$204,188,3),"")</f>
      </c>
      <c r="D192">
        <f>IFERROR(INDEX($N$5:$Q$204,188,4),"")</f>
      </c>
      <c r="H192">
        <f>IFERROR(INDEX(_xlfn.UNIQUE(_xlfn.FILTER('기록'!$C$2:$C$181,('기록'!$C$2:$C$181&lt;&gt;"")*('기록'!$A$2:$A$181&gt;=$B$1)*('기록'!$A$2:$A$181&lt;=$B$2))),188),"")</f>
      </c>
      <c r="I192">
        <f>IF(H192="","",COUNTA(_xlfn.UNIQUE(_xlfn.FILTER('기록'!$A:$A,(('기록'!$C:$C=H192)*('기록'!$A:$A&gt;=$B$1)*('기록'!$A:$A&lt;=$B$2))))))</f>
      </c>
      <c r="J192">
        <f>IF(H192="","",COUNTIFS('기록'!$C:$C,H192,'기록'!$A:$A,"&gt;="&amp;$B$1,'기록'!$A:$A,"&lt;="&amp;$B$2))</f>
      </c>
      <c r="K192">
        <f>IF(H192="","",_xlfn.TEXTJOIN(", ",TRUE,_xlfn.UNIQUE(_xlfn.FILTER('기록'!$A:$A,(('기록'!$C:$C=H192)*('기록'!$A:$A&gt;=$B$1)*('기록'!$A:$A&lt;=$B$2))))))</f>
      </c>
      <c r="L192">
        <f>IF(H192="","",I192)</f>
      </c>
    </row>
    <row r="193" spans="1:12" x14ac:dyDescent="0.25">
      <c r="A193">
        <f>IFERROR(INDEX($N$5:$Q$204,189,1),"")</f>
      </c>
      <c r="B193">
        <f>IFERROR(INDEX($N$5:$Q$204,189,2),"")</f>
      </c>
      <c r="C193">
        <f>IFERROR(INDEX($N$5:$Q$204,189,3),"")</f>
      </c>
      <c r="D193">
        <f>IFERROR(INDEX($N$5:$Q$204,189,4),"")</f>
      </c>
      <c r="H193">
        <f>IFERROR(INDEX(_xlfn.UNIQUE(_xlfn.FILTER('기록'!$C$2:$C$181,('기록'!$C$2:$C$181&lt;&gt;"")*('기록'!$A$2:$A$181&gt;=$B$1)*('기록'!$A$2:$A$181&lt;=$B$2))),189),"")</f>
      </c>
      <c r="I193">
        <f>IF(H193="","",COUNTA(_xlfn.UNIQUE(_xlfn.FILTER('기록'!$A:$A,(('기록'!$C:$C=H193)*('기록'!$A:$A&gt;=$B$1)*('기록'!$A:$A&lt;=$B$2))))))</f>
      </c>
      <c r="J193">
        <f>IF(H193="","",COUNTIFS('기록'!$C:$C,H193,'기록'!$A:$A,"&gt;="&amp;$B$1,'기록'!$A:$A,"&lt;="&amp;$B$2))</f>
      </c>
      <c r="K193">
        <f>IF(H193="","",_xlfn.TEXTJOIN(", ",TRUE,_xlfn.UNIQUE(_xlfn.FILTER('기록'!$A:$A,(('기록'!$C:$C=H193)*('기록'!$A:$A&gt;=$B$1)*('기록'!$A:$A&lt;=$B$2))))))</f>
      </c>
      <c r="L193">
        <f>IF(H193="","",I193)</f>
      </c>
    </row>
    <row r="194" spans="1:12" x14ac:dyDescent="0.25">
      <c r="A194">
        <f>IFERROR(INDEX($N$5:$Q$204,190,1),"")</f>
      </c>
      <c r="B194">
        <f>IFERROR(INDEX($N$5:$Q$204,190,2),"")</f>
      </c>
      <c r="C194">
        <f>IFERROR(INDEX($N$5:$Q$204,190,3),"")</f>
      </c>
      <c r="D194">
        <f>IFERROR(INDEX($N$5:$Q$204,190,4),"")</f>
      </c>
      <c r="H194">
        <f>IFERROR(INDEX(_xlfn.UNIQUE(_xlfn.FILTER('기록'!$C$2:$C$181,('기록'!$C$2:$C$181&lt;&gt;"")*('기록'!$A$2:$A$181&gt;=$B$1)*('기록'!$A$2:$A$181&lt;=$B$2))),190),"")</f>
      </c>
      <c r="I194">
        <f>IF(H194="","",COUNTA(_xlfn.UNIQUE(_xlfn.FILTER('기록'!$A:$A,(('기록'!$C:$C=H194)*('기록'!$A:$A&gt;=$B$1)*('기록'!$A:$A&lt;=$B$2))))))</f>
      </c>
      <c r="J194">
        <f>IF(H194="","",COUNTIFS('기록'!$C:$C,H194,'기록'!$A:$A,"&gt;="&amp;$B$1,'기록'!$A:$A,"&lt;="&amp;$B$2))</f>
      </c>
      <c r="K194">
        <f>IF(H194="","",_xlfn.TEXTJOIN(", ",TRUE,_xlfn.UNIQUE(_xlfn.FILTER('기록'!$A:$A,(('기록'!$C:$C=H194)*('기록'!$A:$A&gt;=$B$1)*('기록'!$A:$A&lt;=$B$2))))))</f>
      </c>
      <c r="L194">
        <f>IF(H194="","",I194)</f>
      </c>
    </row>
    <row r="195" spans="1:12" x14ac:dyDescent="0.25">
      <c r="A195">
        <f>IFERROR(INDEX($N$5:$Q$204,191,1),"")</f>
      </c>
      <c r="B195">
        <f>IFERROR(INDEX($N$5:$Q$204,191,2),"")</f>
      </c>
      <c r="C195">
        <f>IFERROR(INDEX($N$5:$Q$204,191,3),"")</f>
      </c>
      <c r="D195">
        <f>IFERROR(INDEX($N$5:$Q$204,191,4),"")</f>
      </c>
      <c r="H195">
        <f>IFERROR(INDEX(_xlfn.UNIQUE(_xlfn.FILTER('기록'!$C$2:$C$181,('기록'!$C$2:$C$181&lt;&gt;"")*('기록'!$A$2:$A$181&gt;=$B$1)*('기록'!$A$2:$A$181&lt;=$B$2))),191),"")</f>
      </c>
      <c r="I195">
        <f>IF(H195="","",COUNTA(_xlfn.UNIQUE(_xlfn.FILTER('기록'!$A:$A,(('기록'!$C:$C=H195)*('기록'!$A:$A&gt;=$B$1)*('기록'!$A:$A&lt;=$B$2))))))</f>
      </c>
      <c r="J195">
        <f>IF(H195="","",COUNTIFS('기록'!$C:$C,H195,'기록'!$A:$A,"&gt;="&amp;$B$1,'기록'!$A:$A,"&lt;="&amp;$B$2))</f>
      </c>
      <c r="K195">
        <f>IF(H195="","",_xlfn.TEXTJOIN(", ",TRUE,_xlfn.UNIQUE(_xlfn.FILTER('기록'!$A:$A,(('기록'!$C:$C=H195)*('기록'!$A:$A&gt;=$B$1)*('기록'!$A:$A&lt;=$B$2))))))</f>
      </c>
      <c r="L195">
        <f>IF(H195="","",I195)</f>
      </c>
    </row>
    <row r="196" spans="1:12" x14ac:dyDescent="0.25">
      <c r="A196">
        <f>IFERROR(INDEX($N$5:$Q$204,192,1),"")</f>
      </c>
      <c r="B196">
        <f>IFERROR(INDEX($N$5:$Q$204,192,2),"")</f>
      </c>
      <c r="C196">
        <f>IFERROR(INDEX($N$5:$Q$204,192,3),"")</f>
      </c>
      <c r="D196">
        <f>IFERROR(INDEX($N$5:$Q$204,192,4),"")</f>
      </c>
      <c r="H196">
        <f>IFERROR(INDEX(_xlfn.UNIQUE(_xlfn.FILTER('기록'!$C$2:$C$181,('기록'!$C$2:$C$181&lt;&gt;"")*('기록'!$A$2:$A$181&gt;=$B$1)*('기록'!$A$2:$A$181&lt;=$B$2))),192),"")</f>
      </c>
      <c r="I196">
        <f>IF(H196="","",COUNTA(_xlfn.UNIQUE(_xlfn.FILTER('기록'!$A:$A,(('기록'!$C:$C=H196)*('기록'!$A:$A&gt;=$B$1)*('기록'!$A:$A&lt;=$B$2))))))</f>
      </c>
      <c r="J196">
        <f>IF(H196="","",COUNTIFS('기록'!$C:$C,H196,'기록'!$A:$A,"&gt;="&amp;$B$1,'기록'!$A:$A,"&lt;="&amp;$B$2))</f>
      </c>
      <c r="K196">
        <f>IF(H196="","",_xlfn.TEXTJOIN(", ",TRUE,_xlfn.UNIQUE(_xlfn.FILTER('기록'!$A:$A,(('기록'!$C:$C=H196)*('기록'!$A:$A&gt;=$B$1)*('기록'!$A:$A&lt;=$B$2))))))</f>
      </c>
      <c r="L196">
        <f>IF(H196="","",I196)</f>
      </c>
    </row>
    <row r="197" spans="1:12" x14ac:dyDescent="0.25">
      <c r="A197">
        <f>IFERROR(INDEX($N$5:$Q$204,193,1),"")</f>
      </c>
      <c r="B197">
        <f>IFERROR(INDEX($N$5:$Q$204,193,2),"")</f>
      </c>
      <c r="C197">
        <f>IFERROR(INDEX($N$5:$Q$204,193,3),"")</f>
      </c>
      <c r="D197">
        <f>IFERROR(INDEX($N$5:$Q$204,193,4),"")</f>
      </c>
      <c r="H197">
        <f>IFERROR(INDEX(_xlfn.UNIQUE(_xlfn.FILTER('기록'!$C$2:$C$181,('기록'!$C$2:$C$181&lt;&gt;"")*('기록'!$A$2:$A$181&gt;=$B$1)*('기록'!$A$2:$A$181&lt;=$B$2))),193),"")</f>
      </c>
      <c r="I197">
        <f>IF(H197="","",COUNTA(_xlfn.UNIQUE(_xlfn.FILTER('기록'!$A:$A,(('기록'!$C:$C=H197)*('기록'!$A:$A&gt;=$B$1)*('기록'!$A:$A&lt;=$B$2))))))</f>
      </c>
      <c r="J197">
        <f>IF(H197="","",COUNTIFS('기록'!$C:$C,H197,'기록'!$A:$A,"&gt;="&amp;$B$1,'기록'!$A:$A,"&lt;="&amp;$B$2))</f>
      </c>
      <c r="K197">
        <f>IF(H197="","",_xlfn.TEXTJOIN(", ",TRUE,_xlfn.UNIQUE(_xlfn.FILTER('기록'!$A:$A,(('기록'!$C:$C=H197)*('기록'!$A:$A&gt;=$B$1)*('기록'!$A:$A&lt;=$B$2))))))</f>
      </c>
      <c r="L197">
        <f>IF(H197="","",I197)</f>
      </c>
    </row>
    <row r="198" spans="1:12" x14ac:dyDescent="0.25">
      <c r="A198">
        <f>IFERROR(INDEX($N$5:$Q$204,194,1),"")</f>
      </c>
      <c r="B198">
        <f>IFERROR(INDEX($N$5:$Q$204,194,2),"")</f>
      </c>
      <c r="C198">
        <f>IFERROR(INDEX($N$5:$Q$204,194,3),"")</f>
      </c>
      <c r="D198">
        <f>IFERROR(INDEX($N$5:$Q$204,194,4),"")</f>
      </c>
      <c r="H198">
        <f>IFERROR(INDEX(_xlfn.UNIQUE(_xlfn.FILTER('기록'!$C$2:$C$181,('기록'!$C$2:$C$181&lt;&gt;"")*('기록'!$A$2:$A$181&gt;=$B$1)*('기록'!$A$2:$A$181&lt;=$B$2))),194),"")</f>
      </c>
      <c r="I198">
        <f>IF(H198="","",COUNTA(_xlfn.UNIQUE(_xlfn.FILTER('기록'!$A:$A,(('기록'!$C:$C=H198)*('기록'!$A:$A&gt;=$B$1)*('기록'!$A:$A&lt;=$B$2))))))</f>
      </c>
      <c r="J198">
        <f>IF(H198="","",COUNTIFS('기록'!$C:$C,H198,'기록'!$A:$A,"&gt;="&amp;$B$1,'기록'!$A:$A,"&lt;="&amp;$B$2))</f>
      </c>
      <c r="K198">
        <f>IF(H198="","",_xlfn.TEXTJOIN(", ",TRUE,_xlfn.UNIQUE(_xlfn.FILTER('기록'!$A:$A,(('기록'!$C:$C=H198)*('기록'!$A:$A&gt;=$B$1)*('기록'!$A:$A&lt;=$B$2))))))</f>
      </c>
      <c r="L198">
        <f>IF(H198="","",I198)</f>
      </c>
    </row>
    <row r="199" spans="1:12" x14ac:dyDescent="0.25">
      <c r="A199">
        <f>IFERROR(INDEX($N$5:$Q$204,195,1),"")</f>
      </c>
      <c r="B199">
        <f>IFERROR(INDEX($N$5:$Q$204,195,2),"")</f>
      </c>
      <c r="C199">
        <f>IFERROR(INDEX($N$5:$Q$204,195,3),"")</f>
      </c>
      <c r="D199">
        <f>IFERROR(INDEX($N$5:$Q$204,195,4),"")</f>
      </c>
      <c r="H199">
        <f>IFERROR(INDEX(_xlfn.UNIQUE(_xlfn.FILTER('기록'!$C$2:$C$181,('기록'!$C$2:$C$181&lt;&gt;"")*('기록'!$A$2:$A$181&gt;=$B$1)*('기록'!$A$2:$A$181&lt;=$B$2))),195),"")</f>
      </c>
      <c r="I199">
        <f>IF(H199="","",COUNTA(_xlfn.UNIQUE(_xlfn.FILTER('기록'!$A:$A,(('기록'!$C:$C=H199)*('기록'!$A:$A&gt;=$B$1)*('기록'!$A:$A&lt;=$B$2))))))</f>
      </c>
      <c r="J199">
        <f>IF(H199="","",COUNTIFS('기록'!$C:$C,H199,'기록'!$A:$A,"&gt;="&amp;$B$1,'기록'!$A:$A,"&lt;="&amp;$B$2))</f>
      </c>
      <c r="K199">
        <f>IF(H199="","",_xlfn.TEXTJOIN(", ",TRUE,_xlfn.UNIQUE(_xlfn.FILTER('기록'!$A:$A,(('기록'!$C:$C=H199)*('기록'!$A:$A&gt;=$B$1)*('기록'!$A:$A&lt;=$B$2))))))</f>
      </c>
      <c r="L199">
        <f>IF(H199="","",I199)</f>
      </c>
    </row>
    <row r="200" spans="1:12" x14ac:dyDescent="0.25">
      <c r="A200">
        <f>IFERROR(INDEX($N$5:$Q$204,196,1),"")</f>
      </c>
      <c r="B200">
        <f>IFERROR(INDEX($N$5:$Q$204,196,2),"")</f>
      </c>
      <c r="C200">
        <f>IFERROR(INDEX($N$5:$Q$204,196,3),"")</f>
      </c>
      <c r="D200">
        <f>IFERROR(INDEX($N$5:$Q$204,196,4),"")</f>
      </c>
      <c r="H200">
        <f>IFERROR(INDEX(_xlfn.UNIQUE(_xlfn.FILTER('기록'!$C$2:$C$181,('기록'!$C$2:$C$181&lt;&gt;"")*('기록'!$A$2:$A$181&gt;=$B$1)*('기록'!$A$2:$A$181&lt;=$B$2))),196),"")</f>
      </c>
      <c r="I200">
        <f>IF(H200="","",COUNTA(_xlfn.UNIQUE(_xlfn.FILTER('기록'!$A:$A,(('기록'!$C:$C=H200)*('기록'!$A:$A&gt;=$B$1)*('기록'!$A:$A&lt;=$B$2))))))</f>
      </c>
      <c r="J200">
        <f>IF(H200="","",COUNTIFS('기록'!$C:$C,H200,'기록'!$A:$A,"&gt;="&amp;$B$1,'기록'!$A:$A,"&lt;="&amp;$B$2))</f>
      </c>
      <c r="K200">
        <f>IF(H200="","",_xlfn.TEXTJOIN(", ",TRUE,_xlfn.UNIQUE(_xlfn.FILTER('기록'!$A:$A,(('기록'!$C:$C=H200)*('기록'!$A:$A&gt;=$B$1)*('기록'!$A:$A&lt;=$B$2))))))</f>
      </c>
      <c r="L200">
        <f>IF(H200="","",I200)</f>
      </c>
    </row>
    <row r="201" spans="1:12" x14ac:dyDescent="0.25">
      <c r="A201">
        <f>IFERROR(INDEX($N$5:$Q$204,197,1),"")</f>
      </c>
      <c r="B201">
        <f>IFERROR(INDEX($N$5:$Q$204,197,2),"")</f>
      </c>
      <c r="C201">
        <f>IFERROR(INDEX($N$5:$Q$204,197,3),"")</f>
      </c>
      <c r="D201">
        <f>IFERROR(INDEX($N$5:$Q$204,197,4),"")</f>
      </c>
      <c r="H201">
        <f>IFERROR(INDEX(_xlfn.UNIQUE(_xlfn.FILTER('기록'!$C$2:$C$181,('기록'!$C$2:$C$181&lt;&gt;"")*('기록'!$A$2:$A$181&gt;=$B$1)*('기록'!$A$2:$A$181&lt;=$B$2))),197),"")</f>
      </c>
      <c r="I201">
        <f>IF(H201="","",COUNTA(_xlfn.UNIQUE(_xlfn.FILTER('기록'!$A:$A,(('기록'!$C:$C=H201)*('기록'!$A:$A&gt;=$B$1)*('기록'!$A:$A&lt;=$B$2))))))</f>
      </c>
      <c r="J201">
        <f>IF(H201="","",COUNTIFS('기록'!$C:$C,H201,'기록'!$A:$A,"&gt;="&amp;$B$1,'기록'!$A:$A,"&lt;="&amp;$B$2))</f>
      </c>
      <c r="K201">
        <f>IF(H201="","",_xlfn.TEXTJOIN(", ",TRUE,_xlfn.UNIQUE(_xlfn.FILTER('기록'!$A:$A,(('기록'!$C:$C=H201)*('기록'!$A:$A&gt;=$B$1)*('기록'!$A:$A&lt;=$B$2))))))</f>
      </c>
      <c r="L201">
        <f>IF(H201="","",I201)</f>
      </c>
    </row>
    <row r="202" spans="1:12" x14ac:dyDescent="0.25">
      <c r="A202">
        <f>IFERROR(INDEX($N$5:$Q$204,198,1),"")</f>
      </c>
      <c r="B202">
        <f>IFERROR(INDEX($N$5:$Q$204,198,2),"")</f>
      </c>
      <c r="C202">
        <f>IFERROR(INDEX($N$5:$Q$204,198,3),"")</f>
      </c>
      <c r="D202">
        <f>IFERROR(INDEX($N$5:$Q$204,198,4),"")</f>
      </c>
      <c r="H202">
        <f>IFERROR(INDEX(_xlfn.UNIQUE(_xlfn.FILTER('기록'!$C$2:$C$181,('기록'!$C$2:$C$181&lt;&gt;"")*('기록'!$A$2:$A$181&gt;=$B$1)*('기록'!$A$2:$A$181&lt;=$B$2))),198),"")</f>
      </c>
      <c r="I202">
        <f>IF(H202="","",COUNTA(_xlfn.UNIQUE(_xlfn.FILTER('기록'!$A:$A,(('기록'!$C:$C=H202)*('기록'!$A:$A&gt;=$B$1)*('기록'!$A:$A&lt;=$B$2))))))</f>
      </c>
      <c r="J202">
        <f>IF(H202="","",COUNTIFS('기록'!$C:$C,H202,'기록'!$A:$A,"&gt;="&amp;$B$1,'기록'!$A:$A,"&lt;="&amp;$B$2))</f>
      </c>
      <c r="K202">
        <f>IF(H202="","",_xlfn.TEXTJOIN(", ",TRUE,_xlfn.UNIQUE(_xlfn.FILTER('기록'!$A:$A,(('기록'!$C:$C=H202)*('기록'!$A:$A&gt;=$B$1)*('기록'!$A:$A&lt;=$B$2))))))</f>
      </c>
      <c r="L202">
        <f>IF(H202="","",I202)</f>
      </c>
    </row>
    <row r="203" spans="1:12" x14ac:dyDescent="0.25">
      <c r="A203">
        <f>IFERROR(INDEX($N$5:$Q$204,199,1),"")</f>
      </c>
      <c r="B203">
        <f>IFERROR(INDEX($N$5:$Q$204,199,2),"")</f>
      </c>
      <c r="C203">
        <f>IFERROR(INDEX($N$5:$Q$204,199,3),"")</f>
      </c>
      <c r="D203">
        <f>IFERROR(INDEX($N$5:$Q$204,199,4),"")</f>
      </c>
      <c r="H203">
        <f>IFERROR(INDEX(_xlfn.UNIQUE(_xlfn.FILTER('기록'!$C$2:$C$181,('기록'!$C$2:$C$181&lt;&gt;"")*('기록'!$A$2:$A$181&gt;=$B$1)*('기록'!$A$2:$A$181&lt;=$B$2))),199),"")</f>
      </c>
      <c r="I203">
        <f>IF(H203="","",COUNTA(_xlfn.UNIQUE(_xlfn.FILTER('기록'!$A:$A,(('기록'!$C:$C=H203)*('기록'!$A:$A&gt;=$B$1)*('기록'!$A:$A&lt;=$B$2))))))</f>
      </c>
      <c r="J203">
        <f>IF(H203="","",COUNTIFS('기록'!$C:$C,H203,'기록'!$A:$A,"&gt;="&amp;$B$1,'기록'!$A:$A,"&lt;="&amp;$B$2))</f>
      </c>
      <c r="K203">
        <f>IF(H203="","",_xlfn.TEXTJOIN(", ",TRUE,_xlfn.UNIQUE(_xlfn.FILTER('기록'!$A:$A,(('기록'!$C:$C=H203)*('기록'!$A:$A&gt;=$B$1)*('기록'!$A:$A&lt;=$B$2))))))</f>
      </c>
      <c r="L203">
        <f>IF(H203="","",I203)</f>
      </c>
    </row>
    <row r="204" spans="1:12" x14ac:dyDescent="0.25">
      <c r="A204">
        <f>IFERROR(INDEX($N$5:$Q$204,200,1),"")</f>
      </c>
      <c r="B204">
        <f>IFERROR(INDEX($N$5:$Q$204,200,2),"")</f>
      </c>
      <c r="C204">
        <f>IFERROR(INDEX($N$5:$Q$204,200,3),"")</f>
      </c>
      <c r="D204">
        <f>IFERROR(INDEX($N$5:$Q$204,200,4),"")</f>
      </c>
      <c r="H204">
        <f>IFERROR(INDEX(_xlfn.UNIQUE(_xlfn.FILTER('기록'!$C$2:$C$181,('기록'!$C$2:$C$181&lt;&gt;"")*('기록'!$A$2:$A$181&gt;=$B$1)*('기록'!$A$2:$A$181&lt;=$B$2))),200),"")</f>
      </c>
      <c r="I204">
        <f>IF(H204="","",COUNTA(_xlfn.UNIQUE(_xlfn.FILTER('기록'!$A:$A,(('기록'!$C:$C=H204)*('기록'!$A:$A&gt;=$B$1)*('기록'!$A:$A&lt;=$B$2))))))</f>
      </c>
      <c r="J204">
        <f>IF(H204="","",COUNTIFS('기록'!$C:$C,H204,'기록'!$A:$A,"&gt;="&amp;$B$1,'기록'!$A:$A,"&lt;="&amp;$B$2))</f>
      </c>
      <c r="K204">
        <f>IF(H204="","",_xlfn.TEXTJOIN(", ",TRUE,_xlfn.UNIQUE(_xlfn.FILTER('기록'!$A:$A,(('기록'!$C:$C=H204)*('기록'!$A:$A&gt;=$B$1)*('기록'!$A:$A&lt;=$B$2))))))</f>
      </c>
      <c r="L204">
        <f>IF(H204="","",I204)</f>
      </c>
    </row>
  </sheetData>
  <mergeCells count="1"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80" customWidth="1"/>
  </cols>
  <sheetData>
    <row r="1" spans="1:1" x14ac:dyDescent="0.25">
      <c r="A1" s="8" t="s">
        <v>27</v>
      </c>
    </row>
    <row r="2" spans="1:1" x14ac:dyDescent="0.25">
      <c r="A2" s="9" t="s">
        <v>28</v>
      </c>
    </row>
    <row r="3" spans="1:1" x14ac:dyDescent="0.25">
      <c r="A3" s="9" t="s">
        <v>29</v>
      </c>
    </row>
    <row r="4" spans="1:1" x14ac:dyDescent="0.25">
      <c r="A4" s="9" t="s">
        <v>28</v>
      </c>
    </row>
    <row r="5" spans="1:1" x14ac:dyDescent="0.25">
      <c r="A5" s="9" t="s">
        <v>30</v>
      </c>
    </row>
    <row r="6" spans="1:1" x14ac:dyDescent="0.25">
      <c r="A6" s="9" t="s">
        <v>31</v>
      </c>
    </row>
    <row r="7" spans="1:1" x14ac:dyDescent="0.25">
      <c r="A7" s="9" t="s">
        <v>32</v>
      </c>
    </row>
    <row r="8" spans="1:1" x14ac:dyDescent="0.25">
      <c r="A8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게임기록</vt:lpstr>
      <vt:lpstr>기록</vt:lpstr>
      <vt:lpstr>승점순위</vt:lpstr>
      <vt:lpstr>출석</vt:lpstr>
      <vt:lpstr>사용법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MNF HOLDEM</dc:creator>
  <dc:title/>
  <dc:subject/>
  <dc:description/>
  <cp:keywords/>
  <cp:category/>
  <cp:lastModifiedBy>Unknown</cp:lastModifiedBy>
  <dcterms:created xsi:type="dcterms:W3CDTF">2026-07-28T09:54:28Z</dcterms:created>
  <dcterms:modified xsi:type="dcterms:W3CDTF">2026-07-28T09:54:28Z</dcterms:modified>
</cp:coreProperties>
</file>